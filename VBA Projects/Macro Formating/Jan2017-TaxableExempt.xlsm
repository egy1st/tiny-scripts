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120" yWindow="30" windowWidth="28620" windowHeight="12405" firstSheet="1" activeTab="1"/>
  </bookViews>
  <sheets>
    <sheet name="Taxable - Exempt Sales2 (7)" sheetId="9" r:id="rId1"/>
    <sheet name="Taxable - Exempt Sales" sheetId="11" r:id="rId2"/>
  </sheets>
  <calcPr calcId="152511"/>
</workbook>
</file>

<file path=xl/calcChain.xml><?xml version="1.0" encoding="utf-8"?>
<calcChain xmlns="http://schemas.openxmlformats.org/spreadsheetml/2006/main">
  <c r="G102" i="11" l="1"/>
  <c r="E102" i="11"/>
  <c r="G101" i="11"/>
  <c r="G100" i="11"/>
  <c r="G99" i="11"/>
  <c r="G98" i="11"/>
  <c r="G97" i="11"/>
  <c r="G96" i="11"/>
  <c r="G95" i="11"/>
  <c r="G94" i="11"/>
  <c r="G93" i="11"/>
  <c r="G92" i="11"/>
  <c r="G91" i="11"/>
  <c r="G90" i="11"/>
  <c r="G89" i="11"/>
  <c r="G88" i="11"/>
  <c r="G87" i="11"/>
  <c r="G86" i="11"/>
  <c r="G85" i="11"/>
  <c r="G84" i="11"/>
  <c r="G83" i="11"/>
  <c r="G82" i="11"/>
  <c r="G81" i="11"/>
  <c r="G80" i="11"/>
  <c r="G79" i="11"/>
  <c r="G78" i="11"/>
  <c r="G76" i="11"/>
  <c r="G75" i="11"/>
  <c r="G74" i="11"/>
  <c r="G73" i="11"/>
  <c r="G72" i="11"/>
  <c r="G71" i="11"/>
  <c r="G70" i="11"/>
  <c r="G68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17" i="11"/>
  <c r="G16" i="11"/>
  <c r="G15" i="11"/>
  <c r="G14" i="11"/>
  <c r="G13" i="11"/>
  <c r="G12" i="11"/>
  <c r="G11" i="11"/>
  <c r="G9" i="11"/>
  <c r="G8" i="11"/>
  <c r="G7" i="11"/>
  <c r="G6" i="11"/>
  <c r="E132" i="9" l="1"/>
  <c r="G131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1" i="9"/>
  <c r="G110" i="9"/>
  <c r="G109" i="9"/>
  <c r="G108" i="9"/>
  <c r="G107" i="9"/>
  <c r="G106" i="9"/>
  <c r="G99" i="9"/>
  <c r="G98" i="9"/>
  <c r="G97" i="9"/>
  <c r="G96" i="9"/>
  <c r="G94" i="9"/>
  <c r="G93" i="9"/>
  <c r="G92" i="9"/>
  <c r="G91" i="9"/>
  <c r="G84" i="9"/>
  <c r="G83" i="9"/>
  <c r="G82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29" i="9"/>
  <c r="G132" i="9" s="1"/>
  <c r="G22" i="9"/>
  <c r="G21" i="9"/>
  <c r="G20" i="9"/>
  <c r="G19" i="9"/>
  <c r="G18" i="9"/>
  <c r="G11" i="9"/>
  <c r="G9" i="9"/>
  <c r="G8" i="9"/>
  <c r="G7" i="9"/>
  <c r="G6" i="9"/>
</calcChain>
</file>

<file path=xl/comments1.xml><?xml version="1.0" encoding="utf-8"?>
<comments xmlns="http://schemas.openxmlformats.org/spreadsheetml/2006/main">
  <authors>
    <author>cleining</author>
  </authors>
  <commentList>
    <comment ref="H11" authorId="0" shapeId="0">
      <text>
        <r>
          <rPr>
            <b/>
            <sz val="9"/>
            <color indexed="81"/>
            <rFont val="Tahoma"/>
            <family val="2"/>
          </rPr>
          <t>cleining:</t>
        </r>
        <r>
          <rPr>
            <sz val="9"/>
            <color indexed="81"/>
            <rFont val="Tahoma"/>
            <family val="2"/>
          </rPr>
          <t xml:space="preserve">
Bold every "Total for…" row text
Repeat for every row with "Total for…" in the text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cleining:</t>
        </r>
        <r>
          <rPr>
            <sz val="9"/>
            <color indexed="81"/>
            <rFont val="Tahoma"/>
            <family val="2"/>
          </rPr>
          <t xml:space="preserve">
Merge cells from columns A-I at the top of the EXEMPT information (where Agency ID = IL-EX)
Enter "EXEMPT" as the merged column's text and center justify</t>
        </r>
      </text>
    </comment>
  </commentList>
</comments>
</file>

<file path=xl/comments2.xml><?xml version="1.0" encoding="utf-8"?>
<comments xmlns="http://schemas.openxmlformats.org/spreadsheetml/2006/main">
  <authors>
    <author>cleining</author>
  </authors>
  <commentList>
    <comment ref="H11" authorId="0" shapeId="0">
      <text>
        <r>
          <rPr>
            <b/>
            <sz val="9"/>
            <color indexed="81"/>
            <rFont val="Tahoma"/>
            <family val="2"/>
          </rPr>
          <t>cleining:</t>
        </r>
        <r>
          <rPr>
            <sz val="9"/>
            <color indexed="81"/>
            <rFont val="Tahoma"/>
            <family val="2"/>
          </rPr>
          <t xml:space="preserve">
Bold every "Total for…" row text
Repeat for every row with "Total for…" in the text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cleining:</t>
        </r>
        <r>
          <rPr>
            <sz val="9"/>
            <color indexed="81"/>
            <rFont val="Tahoma"/>
            <family val="2"/>
          </rPr>
          <t xml:space="preserve">
Merge cells from columns A-I at the top of the EXEMPT information (where Agency ID = IL-EX)
Enter "EXEMPT" as the merged column's text and center justify</t>
        </r>
      </text>
    </comment>
  </commentList>
</comments>
</file>

<file path=xl/sharedStrings.xml><?xml version="1.0" encoding="utf-8"?>
<sst xmlns="http://schemas.openxmlformats.org/spreadsheetml/2006/main" count="750" uniqueCount="58">
  <si>
    <t>PREMIER ELECTRONICS, INC.</t>
  </si>
  <si>
    <t>Taxable / Exempt Sales</t>
  </si>
  <si>
    <t>For the Period From Jan 1, 2017 to Jan 31, 2017</t>
  </si>
  <si>
    <t>Sales Tax Agency Name</t>
  </si>
  <si>
    <t>Taxable Sale</t>
  </si>
  <si>
    <t>Tax Amount</t>
  </si>
  <si>
    <t>Exempt Sales</t>
  </si>
  <si>
    <t>Total Sales</t>
  </si>
  <si>
    <t>Taxable Type</t>
  </si>
  <si>
    <t>Reference</t>
  </si>
  <si>
    <t>4193-359</t>
  </si>
  <si>
    <t>Illinois Department of Revenue</t>
  </si>
  <si>
    <t>Regular</t>
  </si>
  <si>
    <t>9619</t>
  </si>
  <si>
    <t>9630</t>
  </si>
  <si>
    <t>9635</t>
  </si>
  <si>
    <t>9666</t>
  </si>
  <si>
    <t>Total for Regular</t>
  </si>
  <si>
    <t/>
  </si>
  <si>
    <t>Taxable - Freight</t>
  </si>
  <si>
    <t>Total for Taxable - Freight</t>
  </si>
  <si>
    <t>Total Illinois Department of Revenue</t>
  </si>
  <si>
    <t>IL-EX</t>
  </si>
  <si>
    <t>9529</t>
  </si>
  <si>
    <t>9634</t>
  </si>
  <si>
    <t>9621</t>
  </si>
  <si>
    <t>9632</t>
  </si>
  <si>
    <t>9643</t>
  </si>
  <si>
    <t>9646</t>
  </si>
  <si>
    <t>9644</t>
  </si>
  <si>
    <t>9648</t>
  </si>
  <si>
    <t>9649</t>
  </si>
  <si>
    <t>9650</t>
  </si>
  <si>
    <t>9651</t>
  </si>
  <si>
    <t>9652</t>
  </si>
  <si>
    <t>9657</t>
  </si>
  <si>
    <t>9659</t>
  </si>
  <si>
    <t>9667</t>
  </si>
  <si>
    <t>9673</t>
  </si>
  <si>
    <t>9674</t>
  </si>
  <si>
    <t>9677</t>
  </si>
  <si>
    <t>9678</t>
  </si>
  <si>
    <t>9684</t>
  </si>
  <si>
    <t>Exempt</t>
  </si>
  <si>
    <t>9626</t>
  </si>
  <si>
    <t>9654</t>
  </si>
  <si>
    <t>9655</t>
  </si>
  <si>
    <t>9675</t>
  </si>
  <si>
    <t>9690</t>
  </si>
  <si>
    <t>Total for Exempt</t>
  </si>
  <si>
    <t>Exempt - Freight</t>
  </si>
  <si>
    <t>Total for Exempt - Freight</t>
  </si>
  <si>
    <t>Total Sales + Tax</t>
  </si>
  <si>
    <t>EXEMPT</t>
  </si>
  <si>
    <t>Total Exempt</t>
  </si>
  <si>
    <t>GRAND TOTAL EXEMPT</t>
  </si>
  <si>
    <t>TOTAL RECEIPTS</t>
  </si>
  <si>
    <t>Agency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</si>
</sst>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;\-#,##0.00;* ??"/>
  </numFmts>
  <fonts count="10" x14ac:knownFonts="1"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2" borderId="2" applyNumberFormat="0" applyFont="0" applyAlignment="0" applyProtection="0"/>
    <xf numFmtId="0" fontId="4" fillId="3" borderId="0" applyNumberFormat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2" fillId="0" borderId="0" xfId="0" applyFont="1"/>
    <xf numFmtId="49" fontId="2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right"/>
    </xf>
    <xf numFmtId="164" fontId="1" fillId="0" borderId="0" xfId="0" applyNumberFormat="1" applyFont="1" applyAlignment="1">
      <alignment horizontal="right"/>
    </xf>
    <xf numFmtId="164" fontId="1" fillId="5" borderId="0" xfId="0" applyNumberFormat="1" applyFont="1" applyFill="1" applyAlignment="1">
      <alignment horizontal="right"/>
    </xf>
    <xf numFmtId="49" fontId="1" fillId="5" borderId="0" xfId="0" applyNumberFormat="1" applyFont="1" applyFill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 applyAlignment="1">
      <alignment horizontal="right"/>
    </xf>
    <xf numFmtId="49" fontId="7" fillId="0" borderId="0" xfId="0" applyNumberFormat="1" applyFont="1" applyAlignment="1">
      <alignment horizontal="left"/>
    </xf>
    <xf numFmtId="0" fontId="7" fillId="0" borderId="0" xfId="0" applyFont="1"/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1" fillId="0" borderId="1" xfId="0" applyFont="1" applyBorder="1"/>
    <xf numFmtId="49" fontId="1" fillId="0" borderId="3" xfId="0" applyNumberFormat="1" applyFont="1" applyBorder="1" applyAlignment="1">
      <alignment horizontal="left"/>
    </xf>
    <xf numFmtId="164" fontId="1" fillId="0" borderId="3" xfId="0" applyNumberFormat="1" applyFont="1" applyBorder="1" applyAlignment="1">
      <alignment horizontal="right"/>
    </xf>
    <xf numFmtId="0" fontId="0" fillId="0" borderId="0" xfId="0" applyFont="1"/>
    <xf numFmtId="164" fontId="1" fillId="5" borderId="2" xfId="1" applyNumberFormat="1" applyFont="1" applyFill="1" applyAlignment="1">
      <alignment horizontal="right"/>
    </xf>
    <xf numFmtId="164" fontId="3" fillId="3" borderId="0" xfId="2" applyNumberFormat="1" applyFont="1" applyAlignment="1">
      <alignment horizontal="right"/>
    </xf>
    <xf numFmtId="164" fontId="1" fillId="5" borderId="3" xfId="0" applyNumberFormat="1" applyFont="1" applyFill="1" applyBorder="1" applyAlignment="1">
      <alignment horizontal="right"/>
    </xf>
    <xf numFmtId="0" fontId="0" fillId="4" borderId="3" xfId="0" applyFont="1" applyFill="1" applyBorder="1"/>
    <xf numFmtId="164" fontId="0" fillId="4" borderId="0" xfId="0" applyNumberFormat="1" applyFont="1" applyFill="1" applyBorder="1"/>
    <xf numFmtId="0" fontId="0" fillId="4" borderId="0" xfId="0" applyFont="1" applyFill="1" applyBorder="1"/>
    <xf numFmtId="49" fontId="7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164" fontId="1" fillId="0" borderId="3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49" fontId="9" fillId="0" borderId="0" xfId="0" applyNumberFormat="1" applyFont="1" applyAlignment="1">
      <alignment horizontal="left"/>
    </xf>
    <xf numFmtId="164" fontId="9" fillId="0" borderId="0" xfId="0" applyNumberFormat="1" applyFont="1" applyAlignment="1">
      <alignment horizontal="right"/>
    </xf>
    <xf numFmtId="0" fontId="9" fillId="0" borderId="0" xfId="0" applyFont="1"/>
    <xf numFmtId="49" fontId="9" fillId="0" borderId="3" xfId="0" applyNumberFormat="1" applyFont="1" applyBorder="1" applyAlignment="1">
      <alignment horizontal="left"/>
    </xf>
    <xf numFmtId="164" fontId="9" fillId="0" borderId="3" xfId="0" applyNumberFormat="1" applyFont="1" applyBorder="1" applyAlignment="1">
      <alignment horizontal="right"/>
    </xf>
    <xf numFmtId="49" fontId="9" fillId="0" borderId="0" xfId="0" applyNumberFormat="1" applyFont="1" applyBorder="1" applyAlignment="1">
      <alignment horizontal="left"/>
    </xf>
    <xf numFmtId="164" fontId="9" fillId="0" borderId="0" xfId="0" applyNumberFormat="1" applyFont="1" applyBorder="1" applyAlignment="1">
      <alignment horizontal="right"/>
    </xf>
  </cellXfs>
  <cellStyles count="3">
    <cellStyle name="60% - Accent1" xfId="2" builtinId="32"/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32"/>
  <sheetViews>
    <sheetView topLeftCell="A24" workbookViewId="0">
      <selection activeCell="A32" sqref="A32:I32"/>
    </sheetView>
  </sheetViews>
  <sheetFormatPr defaultRowHeight="12" x14ac:dyDescent="0.2"/>
  <cols>
    <col min="1" max="1" width="15.7109375" style="4" customWidth="1"/>
    <col min="2" max="2" width="30.7109375" style="4" bestFit="1" customWidth="1"/>
    <col min="3" max="3" width="14.28515625" style="6" customWidth="1"/>
    <col min="4" max="4" width="13.140625" style="6" customWidth="1"/>
    <col min="5" max="5" width="14" style="6" customWidth="1"/>
    <col min="6" max="6" width="12.5703125" style="6" customWidth="1"/>
    <col min="7" max="7" width="17" style="6" customWidth="1"/>
    <col min="8" max="8" width="24.42578125" style="4" customWidth="1"/>
    <col min="9" max="9" width="15.7109375" style="4" customWidth="1"/>
    <col min="10" max="16384" width="9.140625" style="1"/>
  </cols>
  <sheetData>
    <row r="1" spans="1:9" s="12" customFormat="1" ht="15" x14ac:dyDescent="0.2">
      <c r="A1" s="25" t="s">
        <v>0</v>
      </c>
      <c r="B1" s="25"/>
      <c r="C1" s="25"/>
      <c r="D1" s="25"/>
      <c r="E1" s="25"/>
      <c r="F1" s="25"/>
      <c r="G1" s="25"/>
      <c r="H1" s="25"/>
      <c r="I1" s="11"/>
    </row>
    <row r="2" spans="1:9" s="14" customFormat="1" ht="14.25" x14ac:dyDescent="0.2">
      <c r="A2" s="26" t="s">
        <v>1</v>
      </c>
      <c r="B2" s="26"/>
      <c r="C2" s="26"/>
      <c r="D2" s="26"/>
      <c r="E2" s="26"/>
      <c r="F2" s="26"/>
      <c r="G2" s="26"/>
      <c r="H2" s="26"/>
      <c r="I2" s="13"/>
    </row>
    <row r="3" spans="1:9" s="14" customFormat="1" ht="14.25" x14ac:dyDescent="0.2">
      <c r="A3" s="26" t="s">
        <v>2</v>
      </c>
      <c r="B3" s="26"/>
      <c r="C3" s="26"/>
      <c r="D3" s="26"/>
      <c r="E3" s="26"/>
      <c r="F3" s="26"/>
      <c r="G3" s="26"/>
      <c r="H3" s="26"/>
      <c r="I3" s="13"/>
    </row>
    <row r="4" spans="1:9" s="2" customFormat="1" ht="11.25" x14ac:dyDescent="0.2">
      <c r="A4" s="3"/>
      <c r="B4" s="3"/>
      <c r="C4" s="5"/>
      <c r="D4" s="5"/>
      <c r="E4" s="5"/>
      <c r="F4" s="5"/>
      <c r="G4" s="5"/>
      <c r="H4" s="3"/>
      <c r="I4" s="3"/>
    </row>
    <row r="5" spans="1:9" s="15" customFormat="1" x14ac:dyDescent="0.2">
      <c r="A5" s="9" t="s">
        <v>57</v>
      </c>
      <c r="B5" s="9" t="s">
        <v>3</v>
      </c>
      <c r="C5" s="10" t="s">
        <v>4</v>
      </c>
      <c r="D5" s="10" t="s">
        <v>5</v>
      </c>
      <c r="E5" s="10" t="s">
        <v>6</v>
      </c>
      <c r="F5" s="10" t="s">
        <v>7</v>
      </c>
      <c r="G5" s="10" t="s">
        <v>52</v>
      </c>
      <c r="H5" s="9" t="s">
        <v>8</v>
      </c>
      <c r="I5" s="9" t="s">
        <v>9</v>
      </c>
    </row>
    <row r="6" spans="1:9" x14ac:dyDescent="0.2">
      <c r="A6" s="4" t="s">
        <v>10</v>
      </c>
      <c r="B6" s="4" t="s">
        <v>11</v>
      </c>
      <c r="C6" s="6">
        <v>349</v>
      </c>
      <c r="D6" s="6">
        <v>24.43</v>
      </c>
      <c r="F6" s="6">
        <v>349</v>
      </c>
      <c r="G6" s="6">
        <f>SUM(F6,D6)</f>
        <v>373.43</v>
      </c>
      <c r="H6" s="4" t="s">
        <v>12</v>
      </c>
      <c r="I6" s="4" t="s">
        <v>13</v>
      </c>
    </row>
    <row r="7" spans="1:9" x14ac:dyDescent="0.2">
      <c r="A7" s="4" t="s">
        <v>10</v>
      </c>
      <c r="B7" s="4" t="s">
        <v>11</v>
      </c>
      <c r="C7" s="6">
        <v>1089</v>
      </c>
      <c r="D7" s="6">
        <v>76.23</v>
      </c>
      <c r="F7" s="6">
        <v>1089</v>
      </c>
      <c r="G7" s="6">
        <f t="shared" ref="G7:G92" si="0">SUM(F7,D7)</f>
        <v>1165.23</v>
      </c>
      <c r="H7" s="4" t="s">
        <v>12</v>
      </c>
      <c r="I7" s="4" t="s">
        <v>14</v>
      </c>
    </row>
    <row r="8" spans="1:9" x14ac:dyDescent="0.2">
      <c r="A8" s="4" t="s">
        <v>10</v>
      </c>
      <c r="B8" s="4" t="s">
        <v>11</v>
      </c>
      <c r="C8" s="6">
        <v>698</v>
      </c>
      <c r="D8" s="6">
        <v>48.86</v>
      </c>
      <c r="F8" s="6">
        <v>698</v>
      </c>
      <c r="G8" s="6">
        <f t="shared" si="0"/>
        <v>746.86</v>
      </c>
      <c r="H8" s="4" t="s">
        <v>12</v>
      </c>
      <c r="I8" s="4" t="s">
        <v>15</v>
      </c>
    </row>
    <row r="9" spans="1:9" x14ac:dyDescent="0.2">
      <c r="A9" s="4" t="s">
        <v>10</v>
      </c>
      <c r="B9" s="4" t="s">
        <v>11</v>
      </c>
      <c r="C9" s="6">
        <v>125</v>
      </c>
      <c r="D9" s="6">
        <v>8.75</v>
      </c>
      <c r="F9" s="6">
        <v>125</v>
      </c>
      <c r="G9" s="6">
        <f t="shared" si="0"/>
        <v>133.75</v>
      </c>
      <c r="H9" s="4" t="s">
        <v>12</v>
      </c>
      <c r="I9" s="4" t="s">
        <v>16</v>
      </c>
    </row>
    <row r="11" spans="1:9" s="31" customFormat="1" x14ac:dyDescent="0.2">
      <c r="A11" s="29" t="s">
        <v>10</v>
      </c>
      <c r="B11" s="29" t="s">
        <v>11</v>
      </c>
      <c r="C11" s="30">
        <v>2261</v>
      </c>
      <c r="D11" s="30">
        <v>158.27000000000001</v>
      </c>
      <c r="E11" s="30"/>
      <c r="F11" s="30">
        <v>2261</v>
      </c>
      <c r="G11" s="30">
        <f t="shared" si="0"/>
        <v>2419.27</v>
      </c>
      <c r="H11" s="29" t="s">
        <v>17</v>
      </c>
      <c r="I11" s="29" t="s">
        <v>18</v>
      </c>
    </row>
    <row r="12" spans="1:9" s="31" customFormat="1" x14ac:dyDescent="0.2">
      <c r="A12" s="29"/>
      <c r="B12" s="29"/>
      <c r="C12" s="30"/>
      <c r="D12" s="30"/>
      <c r="E12" s="30"/>
      <c r="F12" s="30"/>
      <c r="G12" s="30"/>
      <c r="H12" s="29"/>
      <c r="I12" s="29"/>
    </row>
    <row r="13" spans="1:9" s="31" customFormat="1" x14ac:dyDescent="0.2">
      <c r="A13" s="29"/>
      <c r="B13" s="29"/>
      <c r="C13" s="30"/>
      <c r="D13" s="30"/>
      <c r="E13" s="30"/>
      <c r="F13" s="30"/>
      <c r="G13" s="30"/>
      <c r="H13" s="29"/>
      <c r="I13" s="29"/>
    </row>
    <row r="14" spans="1:9" s="31" customFormat="1" x14ac:dyDescent="0.2">
      <c r="A14" s="29"/>
      <c r="B14" s="29"/>
      <c r="C14" s="30"/>
      <c r="D14" s="30"/>
      <c r="E14" s="30"/>
      <c r="F14" s="30"/>
      <c r="G14" s="30"/>
      <c r="H14" s="29"/>
      <c r="I14" s="29"/>
    </row>
    <row r="15" spans="1:9" s="31" customFormat="1" x14ac:dyDescent="0.2">
      <c r="A15" s="29"/>
      <c r="B15" s="29"/>
      <c r="C15" s="30"/>
      <c r="D15" s="30"/>
      <c r="E15" s="30"/>
      <c r="F15" s="30"/>
      <c r="G15" s="30"/>
      <c r="H15" s="29"/>
      <c r="I15" s="29"/>
    </row>
    <row r="16" spans="1:9" s="31" customFormat="1" x14ac:dyDescent="0.2">
      <c r="A16" s="29"/>
      <c r="B16" s="29"/>
      <c r="C16" s="30"/>
      <c r="D16" s="30"/>
      <c r="E16" s="30"/>
      <c r="F16" s="30"/>
      <c r="G16" s="30"/>
      <c r="H16" s="29"/>
      <c r="I16" s="29"/>
    </row>
    <row r="17" spans="1:9" s="31" customFormat="1" x14ac:dyDescent="0.2">
      <c r="A17" s="29"/>
      <c r="B17" s="29"/>
      <c r="C17" s="30"/>
      <c r="D17" s="30"/>
      <c r="E17" s="30"/>
      <c r="F17" s="30"/>
      <c r="G17" s="30"/>
      <c r="H17" s="29"/>
      <c r="I17" s="29"/>
    </row>
    <row r="18" spans="1:9" x14ac:dyDescent="0.2">
      <c r="A18" s="4" t="s">
        <v>10</v>
      </c>
      <c r="B18" s="4" t="s">
        <v>11</v>
      </c>
      <c r="C18" s="6">
        <v>15.22</v>
      </c>
      <c r="D18" s="6">
        <v>1.07</v>
      </c>
      <c r="F18" s="6">
        <v>15.22</v>
      </c>
      <c r="G18" s="6">
        <f t="shared" si="0"/>
        <v>16.29</v>
      </c>
      <c r="H18" s="4" t="s">
        <v>19</v>
      </c>
      <c r="I18" s="4" t="s">
        <v>13</v>
      </c>
    </row>
    <row r="19" spans="1:9" x14ac:dyDescent="0.2">
      <c r="A19" s="4" t="s">
        <v>10</v>
      </c>
      <c r="B19" s="4" t="s">
        <v>11</v>
      </c>
      <c r="C19" s="6">
        <v>20.84</v>
      </c>
      <c r="D19" s="6">
        <v>1.46</v>
      </c>
      <c r="F19" s="6">
        <v>20.84</v>
      </c>
      <c r="G19" s="6">
        <f t="shared" si="0"/>
        <v>22.3</v>
      </c>
      <c r="H19" s="4" t="s">
        <v>19</v>
      </c>
      <c r="I19" s="4" t="s">
        <v>14</v>
      </c>
    </row>
    <row r="20" spans="1:9" x14ac:dyDescent="0.2">
      <c r="A20" s="4" t="s">
        <v>10</v>
      </c>
      <c r="B20" s="4" t="s">
        <v>11</v>
      </c>
      <c r="C20" s="6">
        <v>15.55</v>
      </c>
      <c r="D20" s="6">
        <v>1.0900000000000001</v>
      </c>
      <c r="F20" s="6">
        <v>15.55</v>
      </c>
      <c r="G20" s="6">
        <f t="shared" si="0"/>
        <v>16.64</v>
      </c>
      <c r="H20" s="4" t="s">
        <v>19</v>
      </c>
      <c r="I20" s="4" t="s">
        <v>15</v>
      </c>
    </row>
    <row r="21" spans="1:9" x14ac:dyDescent="0.2">
      <c r="A21" s="4" t="s">
        <v>10</v>
      </c>
      <c r="B21" s="4" t="s">
        <v>11</v>
      </c>
      <c r="C21" s="6">
        <v>36.49</v>
      </c>
      <c r="D21" s="6">
        <v>2.5499999999999998</v>
      </c>
      <c r="F21" s="6">
        <v>36.49</v>
      </c>
      <c r="G21" s="6">
        <f t="shared" si="0"/>
        <v>39.04</v>
      </c>
      <c r="H21" s="4" t="s">
        <v>19</v>
      </c>
      <c r="I21" s="4" t="s">
        <v>16</v>
      </c>
    </row>
    <row r="22" spans="1:9" s="31" customFormat="1" x14ac:dyDescent="0.2">
      <c r="A22" s="32" t="s">
        <v>10</v>
      </c>
      <c r="B22" s="32" t="s">
        <v>11</v>
      </c>
      <c r="C22" s="33">
        <v>88.1</v>
      </c>
      <c r="D22" s="33">
        <v>6.17</v>
      </c>
      <c r="E22" s="33"/>
      <c r="F22" s="33">
        <v>88.1</v>
      </c>
      <c r="G22" s="33">
        <f t="shared" si="0"/>
        <v>94.27</v>
      </c>
      <c r="H22" s="32" t="s">
        <v>20</v>
      </c>
      <c r="I22" s="32" t="s">
        <v>18</v>
      </c>
    </row>
    <row r="23" spans="1:9" s="31" customFormat="1" x14ac:dyDescent="0.2">
      <c r="A23" s="34"/>
      <c r="B23" s="34"/>
      <c r="C23" s="35"/>
      <c r="D23" s="35"/>
      <c r="E23" s="35"/>
      <c r="F23" s="35"/>
      <c r="G23" s="35"/>
      <c r="H23" s="34"/>
      <c r="I23" s="34"/>
    </row>
    <row r="24" spans="1:9" s="31" customFormat="1" x14ac:dyDescent="0.2">
      <c r="A24" s="34"/>
      <c r="B24" s="34"/>
      <c r="C24" s="35"/>
      <c r="D24" s="35"/>
      <c r="E24" s="35"/>
      <c r="F24" s="35"/>
      <c r="G24" s="35"/>
      <c r="H24" s="34"/>
      <c r="I24" s="34"/>
    </row>
    <row r="25" spans="1:9" s="31" customFormat="1" x14ac:dyDescent="0.2">
      <c r="A25" s="34"/>
      <c r="B25" s="34"/>
      <c r="C25" s="35"/>
      <c r="D25" s="35"/>
      <c r="E25" s="35"/>
      <c r="F25" s="35"/>
      <c r="G25" s="35"/>
      <c r="H25" s="34"/>
      <c r="I25" s="34"/>
    </row>
    <row r="26" spans="1:9" s="31" customFormat="1" x14ac:dyDescent="0.2">
      <c r="A26" s="34"/>
      <c r="B26" s="34"/>
      <c r="C26" s="35"/>
      <c r="D26" s="35"/>
      <c r="E26" s="35"/>
      <c r="F26" s="35"/>
      <c r="G26" s="35"/>
      <c r="H26" s="34"/>
      <c r="I26" s="34"/>
    </row>
    <row r="27" spans="1:9" s="31" customFormat="1" x14ac:dyDescent="0.2">
      <c r="A27" s="34"/>
      <c r="B27" s="34"/>
      <c r="C27" s="35"/>
      <c r="D27" s="35"/>
      <c r="E27" s="35"/>
      <c r="F27" s="35"/>
      <c r="G27" s="35"/>
      <c r="H27" s="34"/>
      <c r="I27" s="34"/>
    </row>
    <row r="28" spans="1:9" s="31" customFormat="1" x14ac:dyDescent="0.2">
      <c r="A28" s="34"/>
      <c r="B28" s="34"/>
      <c r="C28" s="35"/>
      <c r="D28" s="35"/>
      <c r="E28" s="35"/>
      <c r="F28" s="35"/>
      <c r="G28" s="35"/>
      <c r="H28" s="34"/>
      <c r="I28" s="34"/>
    </row>
    <row r="29" spans="1:9" ht="15" x14ac:dyDescent="0.25">
      <c r="A29" s="4" t="s">
        <v>10</v>
      </c>
      <c r="B29" s="4" t="s">
        <v>21</v>
      </c>
      <c r="C29" s="18">
        <v>2349.1</v>
      </c>
      <c r="D29" s="6">
        <v>164.44</v>
      </c>
      <c r="E29" s="19">
        <v>0</v>
      </c>
      <c r="F29" s="6">
        <v>2349.1</v>
      </c>
      <c r="G29" s="20">
        <f t="shared" si="0"/>
        <v>2513.54</v>
      </c>
      <c r="H29" s="4" t="s">
        <v>18</v>
      </c>
      <c r="I29" s="4" t="s">
        <v>18</v>
      </c>
    </row>
    <row r="30" spans="1:9" s="18" customFormat="1" ht="15" x14ac:dyDescent="0.25"/>
    <row r="31" spans="1:9" s="18" customFormat="1" ht="15" x14ac:dyDescent="0.25"/>
    <row r="32" spans="1:9" s="18" customFormat="1" ht="15" x14ac:dyDescent="0.25">
      <c r="A32" s="27" t="s">
        <v>53</v>
      </c>
      <c r="B32" s="28"/>
      <c r="C32" s="28"/>
      <c r="D32" s="28"/>
      <c r="E32" s="28"/>
      <c r="F32" s="28"/>
      <c r="G32" s="28"/>
      <c r="H32" s="28"/>
      <c r="I32" s="28"/>
    </row>
    <row r="33" spans="1:9" x14ac:dyDescent="0.2">
      <c r="A33" s="4" t="s">
        <v>22</v>
      </c>
      <c r="B33" s="4" t="s">
        <v>11</v>
      </c>
      <c r="C33" s="6">
        <v>120</v>
      </c>
      <c r="F33" s="6">
        <v>120</v>
      </c>
      <c r="G33" s="6">
        <f t="shared" si="0"/>
        <v>120</v>
      </c>
      <c r="H33" s="4" t="s">
        <v>12</v>
      </c>
      <c r="I33" s="4" t="s">
        <v>23</v>
      </c>
    </row>
    <row r="34" spans="1:9" x14ac:dyDescent="0.2">
      <c r="A34" s="4" t="s">
        <v>22</v>
      </c>
      <c r="B34" s="4" t="s">
        <v>11</v>
      </c>
      <c r="C34" s="6">
        <v>446.25</v>
      </c>
      <c r="F34" s="6">
        <v>446.25</v>
      </c>
      <c r="G34" s="6">
        <f t="shared" si="0"/>
        <v>446.25</v>
      </c>
      <c r="H34" s="4" t="s">
        <v>12</v>
      </c>
      <c r="I34" s="4" t="s">
        <v>24</v>
      </c>
    </row>
    <row r="35" spans="1:9" x14ac:dyDescent="0.2">
      <c r="A35" s="4" t="s">
        <v>22</v>
      </c>
      <c r="B35" s="4" t="s">
        <v>11</v>
      </c>
      <c r="C35" s="6">
        <v>36464.61</v>
      </c>
      <c r="F35" s="6">
        <v>36464.61</v>
      </c>
      <c r="G35" s="6">
        <f t="shared" si="0"/>
        <v>36464.61</v>
      </c>
      <c r="H35" s="4" t="s">
        <v>12</v>
      </c>
      <c r="I35" s="4" t="s">
        <v>25</v>
      </c>
    </row>
    <row r="36" spans="1:9" x14ac:dyDescent="0.2">
      <c r="A36" s="4" t="s">
        <v>22</v>
      </c>
      <c r="B36" s="4" t="s">
        <v>11</v>
      </c>
      <c r="C36" s="6">
        <v>8300</v>
      </c>
      <c r="F36" s="6">
        <v>8300</v>
      </c>
      <c r="G36" s="6">
        <f t="shared" si="0"/>
        <v>8300</v>
      </c>
      <c r="H36" s="4" t="s">
        <v>12</v>
      </c>
      <c r="I36" s="4" t="s">
        <v>25</v>
      </c>
    </row>
    <row r="37" spans="1:9" x14ac:dyDescent="0.2">
      <c r="A37" s="4" t="s">
        <v>22</v>
      </c>
      <c r="B37" s="4" t="s">
        <v>11</v>
      </c>
      <c r="C37" s="6">
        <v>2150</v>
      </c>
      <c r="F37" s="6">
        <v>2150</v>
      </c>
      <c r="G37" s="6">
        <f t="shared" si="0"/>
        <v>2150</v>
      </c>
      <c r="H37" s="4" t="s">
        <v>12</v>
      </c>
      <c r="I37" s="4" t="s">
        <v>25</v>
      </c>
    </row>
    <row r="38" spans="1:9" x14ac:dyDescent="0.2">
      <c r="A38" s="4" t="s">
        <v>22</v>
      </c>
      <c r="B38" s="4" t="s">
        <v>11</v>
      </c>
      <c r="C38" s="6">
        <v>2125</v>
      </c>
      <c r="F38" s="6">
        <v>2125</v>
      </c>
      <c r="G38" s="6">
        <f t="shared" si="0"/>
        <v>2125</v>
      </c>
      <c r="H38" s="4" t="s">
        <v>12</v>
      </c>
      <c r="I38" s="4" t="s">
        <v>25</v>
      </c>
    </row>
    <row r="39" spans="1:9" x14ac:dyDescent="0.2">
      <c r="A39" s="4" t="s">
        <v>22</v>
      </c>
      <c r="B39" s="4" t="s">
        <v>11</v>
      </c>
      <c r="C39" s="6">
        <v>1100</v>
      </c>
      <c r="F39" s="6">
        <v>1100</v>
      </c>
      <c r="G39" s="6">
        <f t="shared" si="0"/>
        <v>1100</v>
      </c>
      <c r="H39" s="4" t="s">
        <v>12</v>
      </c>
      <c r="I39" s="4" t="s">
        <v>25</v>
      </c>
    </row>
    <row r="40" spans="1:9" x14ac:dyDescent="0.2">
      <c r="A40" s="4" t="s">
        <v>22</v>
      </c>
      <c r="B40" s="4" t="s">
        <v>11</v>
      </c>
      <c r="C40" s="6">
        <v>1164</v>
      </c>
      <c r="F40" s="6">
        <v>1164</v>
      </c>
      <c r="G40" s="6">
        <f t="shared" si="0"/>
        <v>1164</v>
      </c>
      <c r="H40" s="4" t="s">
        <v>12</v>
      </c>
      <c r="I40" s="4" t="s">
        <v>25</v>
      </c>
    </row>
    <row r="41" spans="1:9" x14ac:dyDescent="0.2">
      <c r="A41" s="4" t="s">
        <v>22</v>
      </c>
      <c r="B41" s="4" t="s">
        <v>11</v>
      </c>
      <c r="C41" s="6">
        <v>7194</v>
      </c>
      <c r="F41" s="6">
        <v>7194</v>
      </c>
      <c r="G41" s="6">
        <f t="shared" si="0"/>
        <v>7194</v>
      </c>
      <c r="H41" s="4" t="s">
        <v>12</v>
      </c>
      <c r="I41" s="4" t="s">
        <v>26</v>
      </c>
    </row>
    <row r="42" spans="1:9" x14ac:dyDescent="0.2">
      <c r="A42" s="4" t="s">
        <v>22</v>
      </c>
      <c r="B42" s="4" t="s">
        <v>11</v>
      </c>
      <c r="C42" s="6">
        <v>366</v>
      </c>
      <c r="F42" s="6">
        <v>366</v>
      </c>
      <c r="G42" s="6">
        <f t="shared" si="0"/>
        <v>366</v>
      </c>
      <c r="H42" s="4" t="s">
        <v>12</v>
      </c>
      <c r="I42" s="4" t="s">
        <v>26</v>
      </c>
    </row>
    <row r="43" spans="1:9" x14ac:dyDescent="0.2">
      <c r="A43" s="4" t="s">
        <v>22</v>
      </c>
      <c r="B43" s="4" t="s">
        <v>11</v>
      </c>
      <c r="C43" s="6">
        <v>446.25</v>
      </c>
      <c r="F43" s="6">
        <v>446.25</v>
      </c>
      <c r="G43" s="6">
        <f t="shared" si="0"/>
        <v>446.25</v>
      </c>
      <c r="H43" s="4" t="s">
        <v>12</v>
      </c>
      <c r="I43" s="4" t="s">
        <v>26</v>
      </c>
    </row>
    <row r="44" spans="1:9" x14ac:dyDescent="0.2">
      <c r="A44" s="4" t="s">
        <v>22</v>
      </c>
      <c r="B44" s="4" t="s">
        <v>11</v>
      </c>
      <c r="C44" s="6">
        <v>70</v>
      </c>
      <c r="F44" s="6">
        <v>70</v>
      </c>
      <c r="G44" s="6">
        <f t="shared" si="0"/>
        <v>70</v>
      </c>
      <c r="H44" s="4" t="s">
        <v>12</v>
      </c>
      <c r="I44" s="4" t="s">
        <v>27</v>
      </c>
    </row>
    <row r="45" spans="1:9" x14ac:dyDescent="0.2">
      <c r="A45" s="4" t="s">
        <v>22</v>
      </c>
      <c r="B45" s="4" t="s">
        <v>11</v>
      </c>
      <c r="C45" s="6">
        <v>91</v>
      </c>
      <c r="F45" s="6">
        <v>91</v>
      </c>
      <c r="G45" s="6">
        <f t="shared" si="0"/>
        <v>91</v>
      </c>
      <c r="H45" s="4" t="s">
        <v>12</v>
      </c>
      <c r="I45" s="4" t="s">
        <v>27</v>
      </c>
    </row>
    <row r="46" spans="1:9" x14ac:dyDescent="0.2">
      <c r="A46" s="4" t="s">
        <v>22</v>
      </c>
      <c r="B46" s="4" t="s">
        <v>11</v>
      </c>
      <c r="C46" s="6">
        <v>868.55</v>
      </c>
      <c r="F46" s="6">
        <v>868.55</v>
      </c>
      <c r="G46" s="6">
        <f t="shared" si="0"/>
        <v>868.55</v>
      </c>
      <c r="H46" s="4" t="s">
        <v>12</v>
      </c>
      <c r="I46" s="4" t="s">
        <v>28</v>
      </c>
    </row>
    <row r="47" spans="1:9" x14ac:dyDescent="0.2">
      <c r="A47" s="4" t="s">
        <v>22</v>
      </c>
      <c r="B47" s="4" t="s">
        <v>11</v>
      </c>
      <c r="C47" s="6">
        <v>9</v>
      </c>
      <c r="F47" s="6">
        <v>9</v>
      </c>
      <c r="G47" s="6">
        <f t="shared" si="0"/>
        <v>9</v>
      </c>
      <c r="H47" s="4" t="s">
        <v>12</v>
      </c>
      <c r="I47" s="4" t="s">
        <v>29</v>
      </c>
    </row>
    <row r="48" spans="1:9" x14ac:dyDescent="0.2">
      <c r="A48" s="4" t="s">
        <v>22</v>
      </c>
      <c r="B48" s="4" t="s">
        <v>11</v>
      </c>
      <c r="C48" s="6">
        <v>282</v>
      </c>
      <c r="F48" s="6">
        <v>282</v>
      </c>
      <c r="G48" s="6">
        <f t="shared" si="0"/>
        <v>282</v>
      </c>
      <c r="H48" s="4" t="s">
        <v>12</v>
      </c>
      <c r="I48" s="4" t="s">
        <v>29</v>
      </c>
    </row>
    <row r="49" spans="1:9" x14ac:dyDescent="0.2">
      <c r="A49" s="4" t="s">
        <v>22</v>
      </c>
      <c r="B49" s="4" t="s">
        <v>11</v>
      </c>
      <c r="C49" s="6">
        <v>219</v>
      </c>
      <c r="F49" s="6">
        <v>219</v>
      </c>
      <c r="G49" s="6">
        <f t="shared" si="0"/>
        <v>219</v>
      </c>
      <c r="H49" s="4" t="s">
        <v>12</v>
      </c>
      <c r="I49" s="4" t="s">
        <v>29</v>
      </c>
    </row>
    <row r="50" spans="1:9" x14ac:dyDescent="0.2">
      <c r="A50" s="4" t="s">
        <v>22</v>
      </c>
      <c r="B50" s="4" t="s">
        <v>11</v>
      </c>
      <c r="C50" s="6">
        <v>59</v>
      </c>
      <c r="F50" s="6">
        <v>59</v>
      </c>
      <c r="G50" s="6">
        <f t="shared" si="0"/>
        <v>59</v>
      </c>
      <c r="H50" s="4" t="s">
        <v>12</v>
      </c>
      <c r="I50" s="4" t="s">
        <v>29</v>
      </c>
    </row>
    <row r="51" spans="1:9" x14ac:dyDescent="0.2">
      <c r="A51" s="4" t="s">
        <v>22</v>
      </c>
      <c r="B51" s="4" t="s">
        <v>11</v>
      </c>
      <c r="C51" s="6">
        <v>242</v>
      </c>
      <c r="F51" s="6">
        <v>242</v>
      </c>
      <c r="G51" s="6">
        <f t="shared" si="0"/>
        <v>242</v>
      </c>
      <c r="H51" s="4" t="s">
        <v>12</v>
      </c>
      <c r="I51" s="4" t="s">
        <v>29</v>
      </c>
    </row>
    <row r="52" spans="1:9" x14ac:dyDescent="0.2">
      <c r="A52" s="4" t="s">
        <v>22</v>
      </c>
      <c r="B52" s="4" t="s">
        <v>11</v>
      </c>
      <c r="C52" s="6">
        <v>3975</v>
      </c>
      <c r="F52" s="6">
        <v>3975</v>
      </c>
      <c r="G52" s="6">
        <f t="shared" si="0"/>
        <v>3975</v>
      </c>
      <c r="H52" s="4" t="s">
        <v>12</v>
      </c>
      <c r="I52" s="4" t="s">
        <v>29</v>
      </c>
    </row>
    <row r="53" spans="1:9" x14ac:dyDescent="0.2">
      <c r="A53" s="4" t="s">
        <v>22</v>
      </c>
      <c r="B53" s="4" t="s">
        <v>11</v>
      </c>
      <c r="C53" s="6">
        <v>1674</v>
      </c>
      <c r="F53" s="6">
        <v>1674</v>
      </c>
      <c r="G53" s="6">
        <f t="shared" si="0"/>
        <v>1674</v>
      </c>
      <c r="H53" s="4" t="s">
        <v>12</v>
      </c>
      <c r="I53" s="4" t="s">
        <v>30</v>
      </c>
    </row>
    <row r="54" spans="1:9" x14ac:dyDescent="0.2">
      <c r="A54" s="4" t="s">
        <v>22</v>
      </c>
      <c r="B54" s="4" t="s">
        <v>11</v>
      </c>
      <c r="C54" s="6">
        <v>63517.65</v>
      </c>
      <c r="F54" s="6">
        <v>63517.65</v>
      </c>
      <c r="G54" s="6">
        <f t="shared" si="0"/>
        <v>63517.65</v>
      </c>
      <c r="H54" s="4" t="s">
        <v>12</v>
      </c>
      <c r="I54" s="4" t="s">
        <v>31</v>
      </c>
    </row>
    <row r="55" spans="1:9" x14ac:dyDescent="0.2">
      <c r="A55" s="4" t="s">
        <v>22</v>
      </c>
      <c r="B55" s="4" t="s">
        <v>11</v>
      </c>
      <c r="C55" s="6">
        <v>3122.35</v>
      </c>
      <c r="F55" s="6">
        <v>3122.35</v>
      </c>
      <c r="G55" s="6">
        <f t="shared" si="0"/>
        <v>3122.35</v>
      </c>
      <c r="H55" s="4" t="s">
        <v>12</v>
      </c>
      <c r="I55" s="4" t="s">
        <v>31</v>
      </c>
    </row>
    <row r="56" spans="1:9" x14ac:dyDescent="0.2">
      <c r="A56" s="4" t="s">
        <v>22</v>
      </c>
      <c r="B56" s="4" t="s">
        <v>11</v>
      </c>
      <c r="C56" s="6">
        <v>873</v>
      </c>
      <c r="F56" s="6">
        <v>873</v>
      </c>
      <c r="G56" s="6">
        <f t="shared" si="0"/>
        <v>873</v>
      </c>
      <c r="H56" s="4" t="s">
        <v>12</v>
      </c>
      <c r="I56" s="4" t="s">
        <v>31</v>
      </c>
    </row>
    <row r="57" spans="1:9" x14ac:dyDescent="0.2">
      <c r="A57" s="4" t="s">
        <v>22</v>
      </c>
      <c r="B57" s="4" t="s">
        <v>11</v>
      </c>
      <c r="C57" s="6">
        <v>3060</v>
      </c>
      <c r="F57" s="6">
        <v>3060</v>
      </c>
      <c r="G57" s="6">
        <f t="shared" si="0"/>
        <v>3060</v>
      </c>
      <c r="H57" s="4" t="s">
        <v>12</v>
      </c>
      <c r="I57" s="4" t="s">
        <v>32</v>
      </c>
    </row>
    <row r="58" spans="1:9" x14ac:dyDescent="0.2">
      <c r="A58" s="4" t="s">
        <v>22</v>
      </c>
      <c r="B58" s="4" t="s">
        <v>11</v>
      </c>
      <c r="C58" s="6">
        <v>190</v>
      </c>
      <c r="F58" s="6">
        <v>190</v>
      </c>
      <c r="G58" s="6">
        <f t="shared" si="0"/>
        <v>190</v>
      </c>
      <c r="H58" s="4" t="s">
        <v>12</v>
      </c>
      <c r="I58" s="4" t="s">
        <v>32</v>
      </c>
    </row>
    <row r="59" spans="1:9" x14ac:dyDescent="0.2">
      <c r="A59" s="4" t="s">
        <v>22</v>
      </c>
      <c r="B59" s="4" t="s">
        <v>11</v>
      </c>
      <c r="C59" s="6">
        <v>190</v>
      </c>
      <c r="F59" s="6">
        <v>190</v>
      </c>
      <c r="G59" s="6">
        <f t="shared" si="0"/>
        <v>190</v>
      </c>
      <c r="H59" s="4" t="s">
        <v>12</v>
      </c>
      <c r="I59" s="4" t="s">
        <v>32</v>
      </c>
    </row>
    <row r="60" spans="1:9" x14ac:dyDescent="0.2">
      <c r="A60" s="4" t="s">
        <v>22</v>
      </c>
      <c r="B60" s="4" t="s">
        <v>11</v>
      </c>
      <c r="C60" s="6">
        <v>275</v>
      </c>
      <c r="F60" s="6">
        <v>275</v>
      </c>
      <c r="G60" s="6">
        <f t="shared" si="0"/>
        <v>275</v>
      </c>
      <c r="H60" s="4" t="s">
        <v>12</v>
      </c>
      <c r="I60" s="4" t="s">
        <v>32</v>
      </c>
    </row>
    <row r="61" spans="1:9" x14ac:dyDescent="0.2">
      <c r="A61" s="4" t="s">
        <v>22</v>
      </c>
      <c r="B61" s="4" t="s">
        <v>11</v>
      </c>
      <c r="C61" s="6">
        <v>345</v>
      </c>
      <c r="F61" s="6">
        <v>345</v>
      </c>
      <c r="G61" s="6">
        <f t="shared" si="0"/>
        <v>345</v>
      </c>
      <c r="H61" s="4" t="s">
        <v>12</v>
      </c>
      <c r="I61" s="4" t="s">
        <v>32</v>
      </c>
    </row>
    <row r="62" spans="1:9" x14ac:dyDescent="0.2">
      <c r="A62" s="4" t="s">
        <v>22</v>
      </c>
      <c r="B62" s="4" t="s">
        <v>11</v>
      </c>
      <c r="C62" s="6">
        <v>299.3</v>
      </c>
      <c r="F62" s="6">
        <v>299.3</v>
      </c>
      <c r="G62" s="6">
        <f t="shared" si="0"/>
        <v>299.3</v>
      </c>
      <c r="H62" s="4" t="s">
        <v>12</v>
      </c>
      <c r="I62" s="4" t="s">
        <v>33</v>
      </c>
    </row>
    <row r="63" spans="1:9" x14ac:dyDescent="0.2">
      <c r="A63" s="4" t="s">
        <v>22</v>
      </c>
      <c r="B63" s="4" t="s">
        <v>11</v>
      </c>
      <c r="C63" s="6">
        <v>7774.92</v>
      </c>
      <c r="F63" s="6">
        <v>7774.92</v>
      </c>
      <c r="G63" s="6">
        <f t="shared" si="0"/>
        <v>7774.92</v>
      </c>
      <c r="H63" s="4" t="s">
        <v>12</v>
      </c>
      <c r="I63" s="4" t="s">
        <v>34</v>
      </c>
    </row>
    <row r="64" spans="1:9" x14ac:dyDescent="0.2">
      <c r="A64" s="4" t="s">
        <v>22</v>
      </c>
      <c r="B64" s="4" t="s">
        <v>11</v>
      </c>
      <c r="C64" s="6">
        <v>5524.7</v>
      </c>
      <c r="F64" s="6">
        <v>5524.7</v>
      </c>
      <c r="G64" s="6">
        <f t="shared" si="0"/>
        <v>5524.7</v>
      </c>
      <c r="H64" s="4" t="s">
        <v>12</v>
      </c>
      <c r="I64" s="4" t="s">
        <v>34</v>
      </c>
    </row>
    <row r="65" spans="1:9" x14ac:dyDescent="0.2">
      <c r="A65" s="4" t="s">
        <v>22</v>
      </c>
      <c r="B65" s="4" t="s">
        <v>11</v>
      </c>
      <c r="C65" s="6">
        <v>175</v>
      </c>
      <c r="F65" s="6">
        <v>175</v>
      </c>
      <c r="G65" s="6">
        <f t="shared" si="0"/>
        <v>175</v>
      </c>
      <c r="H65" s="4" t="s">
        <v>12</v>
      </c>
      <c r="I65" s="4" t="s">
        <v>35</v>
      </c>
    </row>
    <row r="66" spans="1:9" x14ac:dyDescent="0.2">
      <c r="A66" s="4" t="s">
        <v>22</v>
      </c>
      <c r="B66" s="4" t="s">
        <v>11</v>
      </c>
      <c r="C66" s="6">
        <v>275</v>
      </c>
      <c r="F66" s="6">
        <v>275</v>
      </c>
      <c r="G66" s="6">
        <f t="shared" si="0"/>
        <v>275</v>
      </c>
      <c r="H66" s="4" t="s">
        <v>12</v>
      </c>
      <c r="I66" s="4" t="s">
        <v>36</v>
      </c>
    </row>
    <row r="67" spans="1:9" x14ac:dyDescent="0.2">
      <c r="A67" s="4" t="s">
        <v>22</v>
      </c>
      <c r="B67" s="4" t="s">
        <v>11</v>
      </c>
      <c r="C67" s="6">
        <v>4947</v>
      </c>
      <c r="F67" s="6">
        <v>4947</v>
      </c>
      <c r="G67" s="6">
        <f t="shared" si="0"/>
        <v>4947</v>
      </c>
      <c r="H67" s="4" t="s">
        <v>12</v>
      </c>
      <c r="I67" s="4" t="s">
        <v>37</v>
      </c>
    </row>
    <row r="68" spans="1:9" x14ac:dyDescent="0.2">
      <c r="A68" s="4" t="s">
        <v>22</v>
      </c>
      <c r="B68" s="4" t="s">
        <v>11</v>
      </c>
      <c r="C68" s="6">
        <v>195</v>
      </c>
      <c r="F68" s="6">
        <v>195</v>
      </c>
      <c r="G68" s="6">
        <f t="shared" si="0"/>
        <v>195</v>
      </c>
      <c r="H68" s="4" t="s">
        <v>12</v>
      </c>
      <c r="I68" s="4" t="s">
        <v>37</v>
      </c>
    </row>
    <row r="69" spans="1:9" x14ac:dyDescent="0.2">
      <c r="A69" s="4" t="s">
        <v>22</v>
      </c>
      <c r="B69" s="4" t="s">
        <v>11</v>
      </c>
      <c r="C69" s="6">
        <v>66</v>
      </c>
      <c r="F69" s="6">
        <v>66</v>
      </c>
      <c r="G69" s="6">
        <f t="shared" si="0"/>
        <v>66</v>
      </c>
      <c r="H69" s="4" t="s">
        <v>12</v>
      </c>
      <c r="I69" s="4" t="s">
        <v>37</v>
      </c>
    </row>
    <row r="70" spans="1:9" x14ac:dyDescent="0.2">
      <c r="A70" s="4" t="s">
        <v>22</v>
      </c>
      <c r="B70" s="4" t="s">
        <v>11</v>
      </c>
      <c r="C70" s="6">
        <v>245</v>
      </c>
      <c r="F70" s="6">
        <v>245</v>
      </c>
      <c r="G70" s="6">
        <f t="shared" si="0"/>
        <v>245</v>
      </c>
      <c r="H70" s="4" t="s">
        <v>12</v>
      </c>
      <c r="I70" s="4" t="s">
        <v>37</v>
      </c>
    </row>
    <row r="71" spans="1:9" x14ac:dyDescent="0.2">
      <c r="A71" s="4" t="s">
        <v>22</v>
      </c>
      <c r="B71" s="4" t="s">
        <v>11</v>
      </c>
      <c r="C71" s="6">
        <v>25</v>
      </c>
      <c r="F71" s="6">
        <v>25</v>
      </c>
      <c r="G71" s="6">
        <f t="shared" si="0"/>
        <v>25</v>
      </c>
      <c r="H71" s="4" t="s">
        <v>12</v>
      </c>
      <c r="I71" s="4" t="s">
        <v>38</v>
      </c>
    </row>
    <row r="72" spans="1:9" x14ac:dyDescent="0.2">
      <c r="A72" s="4" t="s">
        <v>22</v>
      </c>
      <c r="B72" s="4" t="s">
        <v>11</v>
      </c>
      <c r="C72" s="6">
        <v>908.28</v>
      </c>
      <c r="F72" s="6">
        <v>908.28</v>
      </c>
      <c r="G72" s="6">
        <f t="shared" si="0"/>
        <v>908.28</v>
      </c>
      <c r="H72" s="4" t="s">
        <v>12</v>
      </c>
      <c r="I72" s="4" t="s">
        <v>39</v>
      </c>
    </row>
    <row r="73" spans="1:9" x14ac:dyDescent="0.2">
      <c r="A73" s="4" t="s">
        <v>22</v>
      </c>
      <c r="B73" s="4" t="s">
        <v>11</v>
      </c>
      <c r="C73" s="6">
        <v>908.28</v>
      </c>
      <c r="F73" s="6">
        <v>908.28</v>
      </c>
      <c r="G73" s="6">
        <f t="shared" si="0"/>
        <v>908.28</v>
      </c>
      <c r="H73" s="4" t="s">
        <v>12</v>
      </c>
      <c r="I73" s="4" t="s">
        <v>39</v>
      </c>
    </row>
    <row r="74" spans="1:9" x14ac:dyDescent="0.2">
      <c r="A74" s="4" t="s">
        <v>22</v>
      </c>
      <c r="B74" s="4" t="s">
        <v>11</v>
      </c>
      <c r="C74" s="6">
        <v>57</v>
      </c>
      <c r="F74" s="6">
        <v>57</v>
      </c>
      <c r="G74" s="6">
        <f t="shared" si="0"/>
        <v>57</v>
      </c>
      <c r="H74" s="4" t="s">
        <v>12</v>
      </c>
      <c r="I74" s="4" t="s">
        <v>40</v>
      </c>
    </row>
    <row r="75" spans="1:9" x14ac:dyDescent="0.2">
      <c r="A75" s="4" t="s">
        <v>22</v>
      </c>
      <c r="B75" s="4" t="s">
        <v>11</v>
      </c>
      <c r="C75" s="6">
        <v>18</v>
      </c>
      <c r="F75" s="6">
        <v>18</v>
      </c>
      <c r="G75" s="6">
        <f t="shared" si="0"/>
        <v>18</v>
      </c>
      <c r="H75" s="4" t="s">
        <v>12</v>
      </c>
      <c r="I75" s="4" t="s">
        <v>40</v>
      </c>
    </row>
    <row r="76" spans="1:9" x14ac:dyDescent="0.2">
      <c r="A76" s="4" t="s">
        <v>22</v>
      </c>
      <c r="B76" s="4" t="s">
        <v>11</v>
      </c>
      <c r="C76" s="6">
        <v>18</v>
      </c>
      <c r="F76" s="6">
        <v>18</v>
      </c>
      <c r="G76" s="6">
        <f t="shared" si="0"/>
        <v>18</v>
      </c>
      <c r="H76" s="4" t="s">
        <v>12</v>
      </c>
      <c r="I76" s="4" t="s">
        <v>40</v>
      </c>
    </row>
    <row r="77" spans="1:9" x14ac:dyDescent="0.2">
      <c r="A77" s="4" t="s">
        <v>22</v>
      </c>
      <c r="B77" s="4" t="s">
        <v>11</v>
      </c>
      <c r="C77" s="6">
        <v>35.840000000000003</v>
      </c>
      <c r="F77" s="6">
        <v>35.840000000000003</v>
      </c>
      <c r="G77" s="6">
        <f t="shared" si="0"/>
        <v>35.840000000000003</v>
      </c>
      <c r="H77" s="4" t="s">
        <v>12</v>
      </c>
      <c r="I77" s="4" t="s">
        <v>40</v>
      </c>
    </row>
    <row r="78" spans="1:9" x14ac:dyDescent="0.2">
      <c r="A78" s="4" t="s">
        <v>22</v>
      </c>
      <c r="B78" s="4" t="s">
        <v>11</v>
      </c>
      <c r="C78" s="6">
        <v>18</v>
      </c>
      <c r="F78" s="6">
        <v>18</v>
      </c>
      <c r="G78" s="6">
        <f t="shared" si="0"/>
        <v>18</v>
      </c>
      <c r="H78" s="4" t="s">
        <v>12</v>
      </c>
      <c r="I78" s="4" t="s">
        <v>40</v>
      </c>
    </row>
    <row r="79" spans="1:9" x14ac:dyDescent="0.2">
      <c r="A79" s="4" t="s">
        <v>22</v>
      </c>
      <c r="B79" s="4" t="s">
        <v>11</v>
      </c>
      <c r="C79" s="6">
        <v>236</v>
      </c>
      <c r="F79" s="6">
        <v>236</v>
      </c>
      <c r="G79" s="6">
        <f t="shared" si="0"/>
        <v>236</v>
      </c>
      <c r="H79" s="4" t="s">
        <v>12</v>
      </c>
      <c r="I79" s="4" t="s">
        <v>41</v>
      </c>
    </row>
    <row r="80" spans="1:9" x14ac:dyDescent="0.2">
      <c r="A80" s="4" t="s">
        <v>22</v>
      </c>
      <c r="B80" s="4" t="s">
        <v>11</v>
      </c>
      <c r="C80" s="6">
        <v>52</v>
      </c>
      <c r="F80" s="6">
        <v>52</v>
      </c>
      <c r="G80" s="6">
        <f t="shared" si="0"/>
        <v>52</v>
      </c>
      <c r="H80" s="4" t="s">
        <v>12</v>
      </c>
      <c r="I80" s="4" t="s">
        <v>41</v>
      </c>
    </row>
    <row r="82" spans="1:9" x14ac:dyDescent="0.2">
      <c r="A82" s="4" t="s">
        <v>22</v>
      </c>
      <c r="B82" s="4" t="s">
        <v>11</v>
      </c>
      <c r="C82" s="6">
        <v>76</v>
      </c>
      <c r="F82" s="6">
        <v>76</v>
      </c>
      <c r="G82" s="6">
        <f t="shared" si="0"/>
        <v>76</v>
      </c>
      <c r="H82" s="4" t="s">
        <v>12</v>
      </c>
      <c r="I82" s="4" t="s">
        <v>41</v>
      </c>
    </row>
    <row r="83" spans="1:9" x14ac:dyDescent="0.2">
      <c r="A83" s="4" t="s">
        <v>22</v>
      </c>
      <c r="B83" s="4" t="s">
        <v>11</v>
      </c>
      <c r="C83" s="6">
        <v>81</v>
      </c>
      <c r="F83" s="6">
        <v>81</v>
      </c>
      <c r="G83" s="6">
        <f t="shared" si="0"/>
        <v>81</v>
      </c>
      <c r="H83" s="4" t="s">
        <v>12</v>
      </c>
      <c r="I83" s="4" t="s">
        <v>42</v>
      </c>
    </row>
    <row r="84" spans="1:9" s="31" customFormat="1" x14ac:dyDescent="0.2">
      <c r="A84" s="29" t="s">
        <v>22</v>
      </c>
      <c r="B84" s="29" t="s">
        <v>11</v>
      </c>
      <c r="C84" s="30">
        <v>160873.98000000001</v>
      </c>
      <c r="D84" s="30"/>
      <c r="E84" s="30"/>
      <c r="F84" s="30">
        <v>160873.98000000001</v>
      </c>
      <c r="G84" s="30">
        <f t="shared" si="0"/>
        <v>160873.98000000001</v>
      </c>
      <c r="H84" s="29" t="s">
        <v>17</v>
      </c>
      <c r="I84" s="29" t="s">
        <v>18</v>
      </c>
    </row>
    <row r="85" spans="1:9" s="31" customFormat="1" x14ac:dyDescent="0.2">
      <c r="A85" s="29"/>
      <c r="B85" s="29"/>
      <c r="C85" s="30"/>
      <c r="D85" s="30"/>
      <c r="E85" s="30"/>
      <c r="F85" s="30"/>
      <c r="G85" s="30"/>
      <c r="H85" s="29"/>
      <c r="I85" s="29"/>
    </row>
    <row r="86" spans="1:9" s="31" customFormat="1" x14ac:dyDescent="0.2">
      <c r="A86" s="29"/>
      <c r="B86" s="29"/>
      <c r="C86" s="30"/>
      <c r="D86" s="30"/>
      <c r="E86" s="30"/>
      <c r="F86" s="30"/>
      <c r="G86" s="30"/>
      <c r="H86" s="29"/>
      <c r="I86" s="29"/>
    </row>
    <row r="87" spans="1:9" s="31" customFormat="1" x14ac:dyDescent="0.2">
      <c r="A87" s="29"/>
      <c r="B87" s="29"/>
      <c r="C87" s="30"/>
      <c r="D87" s="30"/>
      <c r="E87" s="30"/>
      <c r="F87" s="30"/>
      <c r="G87" s="30"/>
      <c r="H87" s="29"/>
      <c r="I87" s="29"/>
    </row>
    <row r="88" spans="1:9" s="31" customFormat="1" x14ac:dyDescent="0.2">
      <c r="A88" s="29"/>
      <c r="B88" s="29"/>
      <c r="C88" s="30"/>
      <c r="D88" s="30"/>
      <c r="E88" s="30"/>
      <c r="F88" s="30"/>
      <c r="G88" s="30"/>
      <c r="H88" s="29"/>
      <c r="I88" s="29"/>
    </row>
    <row r="89" spans="1:9" s="31" customFormat="1" x14ac:dyDescent="0.2">
      <c r="A89" s="29"/>
      <c r="B89" s="29"/>
      <c r="C89" s="30"/>
      <c r="D89" s="30"/>
      <c r="E89" s="30"/>
      <c r="F89" s="30"/>
      <c r="G89" s="30"/>
      <c r="H89" s="29"/>
      <c r="I89" s="29"/>
    </row>
    <row r="90" spans="1:9" s="31" customFormat="1" x14ac:dyDescent="0.2">
      <c r="A90" s="29"/>
      <c r="B90" s="29"/>
      <c r="C90" s="30"/>
      <c r="D90" s="30"/>
      <c r="E90" s="30"/>
      <c r="F90" s="30"/>
      <c r="G90" s="30"/>
      <c r="H90" s="29"/>
      <c r="I90" s="29"/>
    </row>
    <row r="91" spans="1:9" x14ac:dyDescent="0.2">
      <c r="A91" s="4" t="s">
        <v>22</v>
      </c>
      <c r="B91" s="4" t="s">
        <v>11</v>
      </c>
      <c r="E91" s="6">
        <v>2394</v>
      </c>
      <c r="F91" s="6">
        <v>2394</v>
      </c>
      <c r="G91" s="6">
        <f t="shared" si="0"/>
        <v>2394</v>
      </c>
      <c r="H91" s="4" t="s">
        <v>43</v>
      </c>
      <c r="I91" s="4" t="s">
        <v>26</v>
      </c>
    </row>
    <row r="92" spans="1:9" x14ac:dyDescent="0.2">
      <c r="A92" s="4" t="s">
        <v>22</v>
      </c>
      <c r="B92" s="4" t="s">
        <v>11</v>
      </c>
      <c r="E92" s="6">
        <v>15250</v>
      </c>
      <c r="F92" s="6">
        <v>15250</v>
      </c>
      <c r="G92" s="6">
        <f t="shared" si="0"/>
        <v>15250</v>
      </c>
      <c r="H92" s="4" t="s">
        <v>43</v>
      </c>
      <c r="I92" s="4" t="s">
        <v>44</v>
      </c>
    </row>
    <row r="93" spans="1:9" x14ac:dyDescent="0.2">
      <c r="A93" s="4" t="s">
        <v>22</v>
      </c>
      <c r="B93" s="4" t="s">
        <v>11</v>
      </c>
      <c r="E93" s="6">
        <v>951</v>
      </c>
      <c r="F93" s="6">
        <v>951</v>
      </c>
      <c r="G93" s="6">
        <f t="shared" ref="G93:G131" si="1">SUM(F93,D93)</f>
        <v>951</v>
      </c>
      <c r="H93" s="4" t="s">
        <v>43</v>
      </c>
      <c r="I93" s="4" t="s">
        <v>29</v>
      </c>
    </row>
    <row r="94" spans="1:9" x14ac:dyDescent="0.2">
      <c r="A94" s="4" t="s">
        <v>22</v>
      </c>
      <c r="B94" s="4" t="s">
        <v>11</v>
      </c>
      <c r="E94" s="6">
        <v>16425.849999999999</v>
      </c>
      <c r="F94" s="6">
        <v>16425.849999999999</v>
      </c>
      <c r="G94" s="6">
        <f t="shared" si="1"/>
        <v>16425.849999999999</v>
      </c>
      <c r="H94" s="4" t="s">
        <v>43</v>
      </c>
      <c r="I94" s="4" t="s">
        <v>45</v>
      </c>
    </row>
    <row r="96" spans="1:9" x14ac:dyDescent="0.2">
      <c r="A96" s="4" t="s">
        <v>22</v>
      </c>
      <c r="B96" s="4" t="s">
        <v>11</v>
      </c>
      <c r="E96" s="6">
        <v>700</v>
      </c>
      <c r="F96" s="6">
        <v>700</v>
      </c>
      <c r="G96" s="6">
        <f t="shared" si="1"/>
        <v>700</v>
      </c>
      <c r="H96" s="4" t="s">
        <v>43</v>
      </c>
      <c r="I96" s="4" t="s">
        <v>46</v>
      </c>
    </row>
    <row r="97" spans="1:9" x14ac:dyDescent="0.2">
      <c r="A97" s="4" t="s">
        <v>22</v>
      </c>
      <c r="B97" s="4" t="s">
        <v>11</v>
      </c>
      <c r="E97" s="6">
        <v>362.13</v>
      </c>
      <c r="F97" s="6">
        <v>362.13</v>
      </c>
      <c r="G97" s="6">
        <f t="shared" si="1"/>
        <v>362.13</v>
      </c>
      <c r="H97" s="4" t="s">
        <v>43</v>
      </c>
      <c r="I97" s="4" t="s">
        <v>47</v>
      </c>
    </row>
    <row r="98" spans="1:9" x14ac:dyDescent="0.2">
      <c r="A98" s="4" t="s">
        <v>22</v>
      </c>
      <c r="B98" s="4" t="s">
        <v>11</v>
      </c>
      <c r="E98" s="6">
        <v>1304</v>
      </c>
      <c r="F98" s="6">
        <v>1304</v>
      </c>
      <c r="G98" s="6">
        <f t="shared" si="1"/>
        <v>1304</v>
      </c>
      <c r="H98" s="4" t="s">
        <v>43</v>
      </c>
      <c r="I98" s="4" t="s">
        <v>48</v>
      </c>
    </row>
    <row r="99" spans="1:9" s="31" customFormat="1" x14ac:dyDescent="0.2">
      <c r="A99" s="29" t="s">
        <v>22</v>
      </c>
      <c r="B99" s="29" t="s">
        <v>11</v>
      </c>
      <c r="C99" s="30"/>
      <c r="D99" s="30"/>
      <c r="E99" s="30">
        <v>37386.980000000003</v>
      </c>
      <c r="F99" s="30">
        <v>37386.980000000003</v>
      </c>
      <c r="G99" s="30">
        <f t="shared" si="1"/>
        <v>37386.980000000003</v>
      </c>
      <c r="H99" s="29" t="s">
        <v>49</v>
      </c>
      <c r="I99" s="29" t="s">
        <v>18</v>
      </c>
    </row>
    <row r="100" spans="1:9" s="31" customFormat="1" x14ac:dyDescent="0.2">
      <c r="A100" s="29"/>
      <c r="B100" s="29"/>
      <c r="C100" s="30"/>
      <c r="D100" s="30"/>
      <c r="E100" s="30"/>
      <c r="F100" s="30"/>
      <c r="G100" s="30"/>
      <c r="H100" s="29"/>
      <c r="I100" s="29"/>
    </row>
    <row r="101" spans="1:9" s="31" customFormat="1" x14ac:dyDescent="0.2">
      <c r="A101" s="29"/>
      <c r="B101" s="29"/>
      <c r="C101" s="30"/>
      <c r="D101" s="30"/>
      <c r="E101" s="30"/>
      <c r="F101" s="30"/>
      <c r="G101" s="30"/>
      <c r="H101" s="29"/>
      <c r="I101" s="29"/>
    </row>
    <row r="102" spans="1:9" s="31" customFormat="1" x14ac:dyDescent="0.2">
      <c r="A102" s="29"/>
      <c r="B102" s="29"/>
      <c r="C102" s="30"/>
      <c r="D102" s="30"/>
      <c r="E102" s="30"/>
      <c r="F102" s="30"/>
      <c r="G102" s="30"/>
      <c r="H102" s="29"/>
      <c r="I102" s="29"/>
    </row>
    <row r="103" spans="1:9" s="31" customFormat="1" x14ac:dyDescent="0.2">
      <c r="A103" s="29"/>
      <c r="B103" s="29"/>
      <c r="C103" s="30"/>
      <c r="D103" s="30"/>
      <c r="E103" s="30"/>
      <c r="F103" s="30"/>
      <c r="G103" s="30"/>
      <c r="H103" s="29"/>
      <c r="I103" s="29"/>
    </row>
    <row r="104" spans="1:9" s="31" customFormat="1" x14ac:dyDescent="0.2">
      <c r="A104" s="29"/>
      <c r="B104" s="29"/>
      <c r="C104" s="30"/>
      <c r="D104" s="30"/>
      <c r="E104" s="30"/>
      <c r="F104" s="30"/>
      <c r="G104" s="30"/>
      <c r="H104" s="29"/>
      <c r="I104" s="29"/>
    </row>
    <row r="105" spans="1:9" s="31" customFormat="1" x14ac:dyDescent="0.2">
      <c r="A105" s="29"/>
      <c r="B105" s="29"/>
      <c r="C105" s="30"/>
      <c r="D105" s="30"/>
      <c r="E105" s="30"/>
      <c r="F105" s="30"/>
      <c r="G105" s="30"/>
      <c r="H105" s="29"/>
      <c r="I105" s="29"/>
    </row>
    <row r="106" spans="1:9" x14ac:dyDescent="0.2">
      <c r="A106" s="4" t="s">
        <v>22</v>
      </c>
      <c r="B106" s="4" t="s">
        <v>11</v>
      </c>
      <c r="E106" s="6">
        <v>10.95</v>
      </c>
      <c r="F106" s="6">
        <v>10.95</v>
      </c>
      <c r="G106" s="6">
        <f t="shared" si="1"/>
        <v>10.95</v>
      </c>
      <c r="H106" s="4" t="s">
        <v>50</v>
      </c>
      <c r="I106" s="4" t="s">
        <v>23</v>
      </c>
    </row>
    <row r="107" spans="1:9" x14ac:dyDescent="0.2">
      <c r="A107" s="4" t="s">
        <v>22</v>
      </c>
      <c r="B107" s="4" t="s">
        <v>11</v>
      </c>
      <c r="E107" s="6">
        <v>15.41</v>
      </c>
      <c r="F107" s="6">
        <v>15.41</v>
      </c>
      <c r="G107" s="6">
        <f t="shared" si="1"/>
        <v>15.41</v>
      </c>
      <c r="H107" s="4" t="s">
        <v>50</v>
      </c>
      <c r="I107" s="4" t="s">
        <v>24</v>
      </c>
    </row>
    <row r="108" spans="1:9" x14ac:dyDescent="0.2">
      <c r="A108" s="4" t="s">
        <v>22</v>
      </c>
      <c r="B108" s="4" t="s">
        <v>11</v>
      </c>
      <c r="E108" s="6">
        <v>120.58</v>
      </c>
      <c r="F108" s="6">
        <v>120.58</v>
      </c>
      <c r="G108" s="6">
        <f t="shared" si="1"/>
        <v>120.58</v>
      </c>
      <c r="H108" s="4" t="s">
        <v>50</v>
      </c>
      <c r="I108" s="4" t="s">
        <v>25</v>
      </c>
    </row>
    <row r="109" spans="1:9" x14ac:dyDescent="0.2">
      <c r="A109" s="4" t="s">
        <v>22</v>
      </c>
      <c r="B109" s="4" t="s">
        <v>11</v>
      </c>
      <c r="E109" s="6">
        <v>38.28</v>
      </c>
      <c r="F109" s="6">
        <v>38.28</v>
      </c>
      <c r="G109" s="6">
        <f t="shared" si="1"/>
        <v>38.28</v>
      </c>
      <c r="H109" s="4" t="s">
        <v>50</v>
      </c>
      <c r="I109" s="4" t="s">
        <v>26</v>
      </c>
    </row>
    <row r="110" spans="1:9" x14ac:dyDescent="0.2">
      <c r="A110" s="4" t="s">
        <v>22</v>
      </c>
      <c r="B110" s="4" t="s">
        <v>11</v>
      </c>
      <c r="E110" s="6">
        <v>29.86</v>
      </c>
      <c r="F110" s="6">
        <v>29.86</v>
      </c>
      <c r="G110" s="6">
        <f t="shared" si="1"/>
        <v>29.86</v>
      </c>
      <c r="H110" s="4" t="s">
        <v>50</v>
      </c>
      <c r="I110" s="4" t="s">
        <v>28</v>
      </c>
    </row>
    <row r="111" spans="1:9" x14ac:dyDescent="0.2">
      <c r="A111" s="4" t="s">
        <v>22</v>
      </c>
      <c r="B111" s="4" t="s">
        <v>11</v>
      </c>
      <c r="E111" s="6">
        <v>30.87</v>
      </c>
      <c r="F111" s="6">
        <v>30.87</v>
      </c>
      <c r="G111" s="6">
        <f t="shared" si="1"/>
        <v>30.87</v>
      </c>
      <c r="H111" s="4" t="s">
        <v>50</v>
      </c>
      <c r="I111" s="4" t="s">
        <v>29</v>
      </c>
    </row>
    <row r="112" spans="1:9" x14ac:dyDescent="0.2">
      <c r="A112" s="4" t="s">
        <v>22</v>
      </c>
      <c r="B112" s="4" t="s">
        <v>11</v>
      </c>
      <c r="E112" s="6">
        <v>30.84</v>
      </c>
      <c r="F112" s="6">
        <v>30.84</v>
      </c>
      <c r="G112" s="6">
        <f t="shared" si="1"/>
        <v>30.84</v>
      </c>
      <c r="H112" s="4" t="s">
        <v>50</v>
      </c>
      <c r="I112" s="4" t="s">
        <v>30</v>
      </c>
    </row>
    <row r="113" spans="1:9" x14ac:dyDescent="0.2">
      <c r="A113" s="4" t="s">
        <v>22</v>
      </c>
      <c r="B113" s="4" t="s">
        <v>11</v>
      </c>
      <c r="E113" s="6">
        <v>45.2</v>
      </c>
      <c r="F113" s="6">
        <v>45.2</v>
      </c>
      <c r="G113" s="6">
        <f t="shared" si="1"/>
        <v>45.2</v>
      </c>
      <c r="H113" s="4" t="s">
        <v>50</v>
      </c>
      <c r="I113" s="4" t="s">
        <v>32</v>
      </c>
    </row>
    <row r="114" spans="1:9" x14ac:dyDescent="0.2">
      <c r="A114" s="4" t="s">
        <v>22</v>
      </c>
      <c r="B114" s="4" t="s">
        <v>11</v>
      </c>
      <c r="E114" s="6">
        <v>20.85</v>
      </c>
      <c r="F114" s="6">
        <v>20.85</v>
      </c>
      <c r="G114" s="6">
        <f t="shared" si="1"/>
        <v>20.85</v>
      </c>
      <c r="H114" s="4" t="s">
        <v>50</v>
      </c>
      <c r="I114" s="4" t="s">
        <v>33</v>
      </c>
    </row>
    <row r="115" spans="1:9" x14ac:dyDescent="0.2">
      <c r="A115" s="4" t="s">
        <v>22</v>
      </c>
      <c r="B115" s="4" t="s">
        <v>11</v>
      </c>
      <c r="E115" s="6">
        <v>89.93</v>
      </c>
      <c r="F115" s="6">
        <v>89.93</v>
      </c>
      <c r="G115" s="6">
        <f t="shared" si="1"/>
        <v>89.93</v>
      </c>
      <c r="H115" s="4" t="s">
        <v>50</v>
      </c>
      <c r="I115" s="4" t="s">
        <v>34</v>
      </c>
    </row>
    <row r="116" spans="1:9" x14ac:dyDescent="0.2">
      <c r="A116" s="4" t="s">
        <v>22</v>
      </c>
      <c r="B116" s="4" t="s">
        <v>11</v>
      </c>
      <c r="E116" s="6">
        <v>8.85</v>
      </c>
      <c r="F116" s="6">
        <v>8.85</v>
      </c>
      <c r="G116" s="6">
        <f t="shared" si="1"/>
        <v>8.85</v>
      </c>
      <c r="H116" s="4" t="s">
        <v>50</v>
      </c>
      <c r="I116" s="4" t="s">
        <v>35</v>
      </c>
    </row>
    <row r="117" spans="1:9" x14ac:dyDescent="0.2">
      <c r="A117" s="4" t="s">
        <v>22</v>
      </c>
      <c r="B117" s="4" t="s">
        <v>11</v>
      </c>
      <c r="E117" s="6">
        <v>15.85</v>
      </c>
      <c r="F117" s="6">
        <v>15.85</v>
      </c>
      <c r="G117" s="6">
        <f t="shared" si="1"/>
        <v>15.85</v>
      </c>
      <c r="H117" s="4" t="s">
        <v>50</v>
      </c>
      <c r="I117" s="4" t="s">
        <v>36</v>
      </c>
    </row>
    <row r="118" spans="1:9" x14ac:dyDescent="0.2">
      <c r="A118" s="4" t="s">
        <v>22</v>
      </c>
      <c r="B118" s="4" t="s">
        <v>11</v>
      </c>
      <c r="E118" s="6">
        <v>30.88</v>
      </c>
      <c r="F118" s="6">
        <v>30.88</v>
      </c>
      <c r="G118" s="6">
        <f t="shared" si="1"/>
        <v>30.88</v>
      </c>
      <c r="H118" s="4" t="s">
        <v>50</v>
      </c>
      <c r="I118" s="4" t="s">
        <v>37</v>
      </c>
    </row>
    <row r="119" spans="1:9" x14ac:dyDescent="0.2">
      <c r="A119" s="4" t="s">
        <v>22</v>
      </c>
      <c r="B119" s="4" t="s">
        <v>11</v>
      </c>
      <c r="E119" s="6">
        <v>5.25</v>
      </c>
      <c r="F119" s="6">
        <v>5.25</v>
      </c>
      <c r="G119" s="6">
        <f t="shared" si="1"/>
        <v>5.25</v>
      </c>
      <c r="H119" s="4" t="s">
        <v>50</v>
      </c>
      <c r="I119" s="4" t="s">
        <v>38</v>
      </c>
    </row>
    <row r="120" spans="1:9" x14ac:dyDescent="0.2">
      <c r="A120" s="4" t="s">
        <v>22</v>
      </c>
      <c r="B120" s="4" t="s">
        <v>11</v>
      </c>
      <c r="E120" s="6">
        <v>65</v>
      </c>
      <c r="F120" s="6">
        <v>65</v>
      </c>
      <c r="G120" s="6">
        <f t="shared" si="1"/>
        <v>65</v>
      </c>
      <c r="H120" s="4" t="s">
        <v>50</v>
      </c>
      <c r="I120" s="4" t="s">
        <v>39</v>
      </c>
    </row>
    <row r="121" spans="1:9" x14ac:dyDescent="0.2">
      <c r="A121" s="4" t="s">
        <v>22</v>
      </c>
      <c r="B121" s="4" t="s">
        <v>11</v>
      </c>
      <c r="E121" s="6">
        <v>15.52</v>
      </c>
      <c r="F121" s="6">
        <v>15.52</v>
      </c>
      <c r="G121" s="6">
        <f t="shared" si="1"/>
        <v>15.52</v>
      </c>
      <c r="H121" s="4" t="s">
        <v>50</v>
      </c>
      <c r="I121" s="4" t="s">
        <v>40</v>
      </c>
    </row>
    <row r="122" spans="1:9" x14ac:dyDescent="0.2">
      <c r="A122" s="4" t="s">
        <v>22</v>
      </c>
      <c r="B122" s="4" t="s">
        <v>11</v>
      </c>
      <c r="E122" s="6">
        <v>18.98</v>
      </c>
      <c r="F122" s="6">
        <v>18.98</v>
      </c>
      <c r="G122" s="6">
        <f t="shared" si="1"/>
        <v>18.98</v>
      </c>
      <c r="H122" s="4" t="s">
        <v>50</v>
      </c>
      <c r="I122" s="4" t="s">
        <v>41</v>
      </c>
    </row>
    <row r="123" spans="1:9" x14ac:dyDescent="0.2">
      <c r="A123" s="4" t="s">
        <v>22</v>
      </c>
      <c r="B123" s="4" t="s">
        <v>11</v>
      </c>
      <c r="E123" s="6">
        <v>12</v>
      </c>
      <c r="F123" s="6">
        <v>12</v>
      </c>
      <c r="G123" s="6">
        <f t="shared" si="1"/>
        <v>12</v>
      </c>
      <c r="H123" s="4" t="s">
        <v>50</v>
      </c>
      <c r="I123" s="4" t="s">
        <v>42</v>
      </c>
    </row>
    <row r="124" spans="1:9" s="31" customFormat="1" x14ac:dyDescent="0.2">
      <c r="A124" s="29" t="s">
        <v>22</v>
      </c>
      <c r="B124" s="29" t="s">
        <v>11</v>
      </c>
      <c r="C124" s="30"/>
      <c r="D124" s="30"/>
      <c r="E124" s="30">
        <v>605.1</v>
      </c>
      <c r="F124" s="30">
        <v>605.1</v>
      </c>
      <c r="G124" s="30">
        <f t="shared" si="1"/>
        <v>605.1</v>
      </c>
      <c r="H124" s="29" t="s">
        <v>51</v>
      </c>
      <c r="I124" s="29" t="s">
        <v>18</v>
      </c>
    </row>
    <row r="125" spans="1:9" s="31" customFormat="1" x14ac:dyDescent="0.2">
      <c r="A125" s="29"/>
      <c r="B125" s="29"/>
      <c r="C125" s="30"/>
      <c r="D125" s="30"/>
      <c r="E125" s="30"/>
      <c r="F125" s="30"/>
      <c r="G125" s="30"/>
      <c r="H125" s="29"/>
      <c r="I125" s="29"/>
    </row>
    <row r="126" spans="1:9" s="31" customFormat="1" x14ac:dyDescent="0.2">
      <c r="A126" s="29"/>
      <c r="B126" s="29"/>
      <c r="C126" s="30"/>
      <c r="D126" s="30"/>
      <c r="E126" s="30"/>
      <c r="F126" s="30"/>
      <c r="G126" s="30"/>
      <c r="H126" s="29"/>
      <c r="I126" s="29"/>
    </row>
    <row r="127" spans="1:9" s="31" customFormat="1" x14ac:dyDescent="0.2">
      <c r="A127" s="29"/>
      <c r="B127" s="29"/>
      <c r="C127" s="30"/>
      <c r="D127" s="30"/>
      <c r="E127" s="30"/>
      <c r="F127" s="30"/>
      <c r="G127" s="30"/>
      <c r="H127" s="29"/>
      <c r="I127" s="29"/>
    </row>
    <row r="128" spans="1:9" s="31" customFormat="1" x14ac:dyDescent="0.2">
      <c r="A128" s="29"/>
      <c r="B128" s="29"/>
      <c r="C128" s="30"/>
      <c r="D128" s="30"/>
      <c r="E128" s="30"/>
      <c r="F128" s="30"/>
      <c r="G128" s="30"/>
      <c r="H128" s="29"/>
      <c r="I128" s="29"/>
    </row>
    <row r="129" spans="1:9" s="31" customFormat="1" x14ac:dyDescent="0.2">
      <c r="A129" s="29"/>
      <c r="B129" s="29"/>
      <c r="C129" s="30"/>
      <c r="D129" s="30"/>
      <c r="E129" s="30"/>
      <c r="F129" s="30"/>
      <c r="G129" s="30"/>
      <c r="H129" s="29"/>
      <c r="I129" s="29"/>
    </row>
    <row r="130" spans="1:9" s="31" customFormat="1" x14ac:dyDescent="0.2">
      <c r="A130" s="29"/>
      <c r="B130" s="29"/>
      <c r="C130" s="30"/>
      <c r="D130" s="30"/>
      <c r="E130" s="30"/>
      <c r="F130" s="30"/>
      <c r="G130" s="30"/>
      <c r="H130" s="29"/>
      <c r="I130" s="29"/>
    </row>
    <row r="131" spans="1:9" ht="15" x14ac:dyDescent="0.25">
      <c r="A131" s="16" t="s">
        <v>22</v>
      </c>
      <c r="B131" s="16" t="s">
        <v>21</v>
      </c>
      <c r="C131" s="21">
        <v>160873.98000000001</v>
      </c>
      <c r="D131" s="21"/>
      <c r="E131" s="21">
        <v>37992.080000000002</v>
      </c>
      <c r="F131" s="17">
        <v>198866.06</v>
      </c>
      <c r="G131" s="22">
        <f t="shared" si="1"/>
        <v>198866.06</v>
      </c>
      <c r="H131" s="16" t="s">
        <v>55</v>
      </c>
      <c r="I131" s="16" t="s">
        <v>18</v>
      </c>
    </row>
    <row r="132" spans="1:9" ht="15" x14ac:dyDescent="0.25">
      <c r="A132" s="8" t="s">
        <v>54</v>
      </c>
      <c r="B132" s="8"/>
      <c r="C132" s="7"/>
      <c r="D132" s="7"/>
      <c r="E132" s="7">
        <f>SUM(E131,C131,E29)</f>
        <v>198866.06</v>
      </c>
      <c r="G132" s="23">
        <f>SUM(G131,G29)</f>
        <v>201379.6</v>
      </c>
      <c r="H132" s="24" t="s">
        <v>56</v>
      </c>
    </row>
  </sheetData>
  <mergeCells count="4">
    <mergeCell ref="A1:H1"/>
    <mergeCell ref="A2:H2"/>
    <mergeCell ref="A3:H3"/>
    <mergeCell ref="A32:I3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02"/>
  <sheetViews>
    <sheetView tabSelected="1" workbookViewId="0">
      <selection activeCell="B21" sqref="B21"/>
    </sheetView>
  </sheetViews>
  <sheetFormatPr defaultRowHeight="12" x14ac:dyDescent="0.2"/>
  <cols>
    <col min="1" max="1" width="15.7109375" style="4" customWidth="1"/>
    <col min="2" max="2" width="30.7109375" style="4" bestFit="1" customWidth="1"/>
    <col min="3" max="3" width="14.28515625" style="6" customWidth="1"/>
    <col min="4" max="4" width="13.140625" style="6" customWidth="1"/>
    <col min="5" max="5" width="14" style="6" customWidth="1"/>
    <col min="6" max="6" width="12.5703125" style="6" customWidth="1"/>
    <col min="7" max="7" width="17" style="6" customWidth="1"/>
    <col min="8" max="8" width="24.42578125" style="4" customWidth="1"/>
    <col min="9" max="9" width="15.7109375" style="4" customWidth="1"/>
    <col min="10" max="16384" width="9.140625" style="1"/>
  </cols>
  <sheetData>
    <row r="1" spans="1:9" s="12" customFormat="1" ht="15" x14ac:dyDescent="0.2">
      <c r="A1" s="25" t="s">
        <v>0</v>
      </c>
      <c r="B1" s="25"/>
      <c r="C1" s="25"/>
      <c r="D1" s="25"/>
      <c r="E1" s="25"/>
      <c r="F1" s="25"/>
      <c r="G1" s="25"/>
      <c r="H1" s="25"/>
      <c r="I1" s="11"/>
    </row>
    <row r="2" spans="1:9" s="14" customFormat="1" ht="14.25" x14ac:dyDescent="0.2">
      <c r="A2" s="26" t="s">
        <v>1</v>
      </c>
      <c r="B2" s="26"/>
      <c r="C2" s="26"/>
      <c r="D2" s="26"/>
      <c r="E2" s="26"/>
      <c r="F2" s="26"/>
      <c r="G2" s="26"/>
      <c r="H2" s="26"/>
      <c r="I2" s="13"/>
    </row>
    <row r="3" spans="1:9" s="14" customFormat="1" ht="14.25" x14ac:dyDescent="0.2">
      <c r="A3" s="26" t="s">
        <v>2</v>
      </c>
      <c r="B3" s="26"/>
      <c r="C3" s="26"/>
      <c r="D3" s="26"/>
      <c r="E3" s="26"/>
      <c r="F3" s="26"/>
      <c r="G3" s="26"/>
      <c r="H3" s="26"/>
      <c r="I3" s="13"/>
    </row>
    <row r="4" spans="1:9" s="2" customFormat="1" ht="11.25" x14ac:dyDescent="0.2">
      <c r="A4" s="3"/>
      <c r="B4" s="3"/>
      <c r="C4" s="5"/>
      <c r="D4" s="5"/>
      <c r="E4" s="5"/>
      <c r="F4" s="5"/>
      <c r="G4" s="5"/>
      <c r="H4" s="3"/>
      <c r="I4" s="3"/>
    </row>
    <row r="5" spans="1:9" s="15" customFormat="1" x14ac:dyDescent="0.2">
      <c r="A5" s="9" t="s">
        <v>57</v>
      </c>
      <c r="B5" s="9" t="s">
        <v>3</v>
      </c>
      <c r="C5" s="10" t="s">
        <v>4</v>
      </c>
      <c r="D5" s="10" t="s">
        <v>5</v>
      </c>
      <c r="E5" s="10" t="s">
        <v>6</v>
      </c>
      <c r="F5" s="10" t="s">
        <v>7</v>
      </c>
      <c r="G5" s="10" t="s">
        <v>52</v>
      </c>
      <c r="H5" s="9" t="s">
        <v>8</v>
      </c>
      <c r="I5" s="9" t="s">
        <v>9</v>
      </c>
    </row>
    <row r="6" spans="1:9" x14ac:dyDescent="0.2">
      <c r="A6" s="4" t="s">
        <v>10</v>
      </c>
      <c r="B6" s="4" t="s">
        <v>11</v>
      </c>
      <c r="C6" s="6">
        <v>349</v>
      </c>
      <c r="D6" s="6">
        <v>24.43</v>
      </c>
      <c r="F6" s="6">
        <v>349</v>
      </c>
      <c r="G6" s="6">
        <f>SUM(F6,D6)</f>
        <v>373.43</v>
      </c>
      <c r="H6" s="4" t="s">
        <v>12</v>
      </c>
      <c r="I6" s="4" t="s">
        <v>13</v>
      </c>
    </row>
    <row r="7" spans="1:9" x14ac:dyDescent="0.2">
      <c r="A7" s="4" t="s">
        <v>10</v>
      </c>
      <c r="B7" s="4" t="s">
        <v>11</v>
      </c>
      <c r="C7" s="6">
        <v>1089</v>
      </c>
      <c r="D7" s="6">
        <v>76.23</v>
      </c>
      <c r="F7" s="6">
        <v>1089</v>
      </c>
      <c r="G7" s="6">
        <f t="shared" ref="G7:G74" si="0">SUM(F7,D7)</f>
        <v>1165.23</v>
      </c>
      <c r="H7" s="4" t="s">
        <v>12</v>
      </c>
      <c r="I7" s="4" t="s">
        <v>14</v>
      </c>
    </row>
    <row r="8" spans="1:9" x14ac:dyDescent="0.2">
      <c r="A8" s="4" t="s">
        <v>10</v>
      </c>
      <c r="B8" s="4" t="s">
        <v>11</v>
      </c>
      <c r="C8" s="6">
        <v>698</v>
      </c>
      <c r="D8" s="6">
        <v>48.86</v>
      </c>
      <c r="F8" s="6">
        <v>698</v>
      </c>
      <c r="G8" s="6">
        <f t="shared" si="0"/>
        <v>746.86</v>
      </c>
      <c r="H8" s="4" t="s">
        <v>12</v>
      </c>
      <c r="I8" s="4" t="s">
        <v>15</v>
      </c>
    </row>
    <row r="9" spans="1:9" x14ac:dyDescent="0.2">
      <c r="A9" s="4" t="s">
        <v>10</v>
      </c>
      <c r="B9" s="4" t="s">
        <v>11</v>
      </c>
      <c r="C9" s="6">
        <v>125</v>
      </c>
      <c r="D9" s="6">
        <v>8.75</v>
      </c>
      <c r="F9" s="6">
        <v>125</v>
      </c>
      <c r="G9" s="6">
        <f t="shared" si="0"/>
        <v>133.75</v>
      </c>
      <c r="H9" s="4" t="s">
        <v>12</v>
      </c>
      <c r="I9" s="4" t="s">
        <v>16</v>
      </c>
    </row>
    <row r="11" spans="1:9" x14ac:dyDescent="0.2">
      <c r="A11" s="4" t="s">
        <v>10</v>
      </c>
      <c r="B11" s="4" t="s">
        <v>11</v>
      </c>
      <c r="C11" s="6">
        <v>2261</v>
      </c>
      <c r="D11" s="6">
        <v>158.27000000000001</v>
      </c>
      <c r="F11" s="6">
        <v>2261</v>
      </c>
      <c r="G11" s="6">
        <f t="shared" si="0"/>
        <v>2419.27</v>
      </c>
      <c r="H11" s="4" t="s">
        <v>17</v>
      </c>
      <c r="I11" s="4" t="s">
        <v>18</v>
      </c>
    </row>
    <row r="12" spans="1:9" x14ac:dyDescent="0.2">
      <c r="A12" s="4" t="s">
        <v>10</v>
      </c>
      <c r="B12" s="4" t="s">
        <v>11</v>
      </c>
      <c r="C12" s="6">
        <v>15.22</v>
      </c>
      <c r="D12" s="6">
        <v>1.07</v>
      </c>
      <c r="F12" s="6">
        <v>15.22</v>
      </c>
      <c r="G12" s="6">
        <f t="shared" si="0"/>
        <v>16.29</v>
      </c>
      <c r="H12" s="4" t="s">
        <v>19</v>
      </c>
      <c r="I12" s="4" t="s">
        <v>13</v>
      </c>
    </row>
    <row r="13" spans="1:9" x14ac:dyDescent="0.2">
      <c r="A13" s="4" t="s">
        <v>10</v>
      </c>
      <c r="B13" s="4" t="s">
        <v>11</v>
      </c>
      <c r="C13" s="6">
        <v>20.84</v>
      </c>
      <c r="D13" s="6">
        <v>1.46</v>
      </c>
      <c r="F13" s="6">
        <v>20.84</v>
      </c>
      <c r="G13" s="6">
        <f t="shared" si="0"/>
        <v>22.3</v>
      </c>
      <c r="H13" s="4" t="s">
        <v>19</v>
      </c>
      <c r="I13" s="4" t="s">
        <v>14</v>
      </c>
    </row>
    <row r="14" spans="1:9" x14ac:dyDescent="0.2">
      <c r="A14" s="4" t="s">
        <v>10</v>
      </c>
      <c r="B14" s="4" t="s">
        <v>11</v>
      </c>
      <c r="C14" s="6">
        <v>15.55</v>
      </c>
      <c r="D14" s="6">
        <v>1.0900000000000001</v>
      </c>
      <c r="F14" s="6">
        <v>15.55</v>
      </c>
      <c r="G14" s="6">
        <f t="shared" si="0"/>
        <v>16.64</v>
      </c>
      <c r="H14" s="4" t="s">
        <v>19</v>
      </c>
      <c r="I14" s="4" t="s">
        <v>15</v>
      </c>
    </row>
    <row r="15" spans="1:9" x14ac:dyDescent="0.2">
      <c r="A15" s="4" t="s">
        <v>10</v>
      </c>
      <c r="B15" s="4" t="s">
        <v>11</v>
      </c>
      <c r="C15" s="6">
        <v>36.49</v>
      </c>
      <c r="D15" s="6">
        <v>2.5499999999999998</v>
      </c>
      <c r="F15" s="6">
        <v>36.49</v>
      </c>
      <c r="G15" s="6">
        <f t="shared" si="0"/>
        <v>39.04</v>
      </c>
      <c r="H15" s="4" t="s">
        <v>19</v>
      </c>
      <c r="I15" s="4" t="s">
        <v>16</v>
      </c>
    </row>
    <row r="16" spans="1:9" x14ac:dyDescent="0.2">
      <c r="A16" s="16" t="s">
        <v>10</v>
      </c>
      <c r="B16" s="16" t="s">
        <v>11</v>
      </c>
      <c r="C16" s="17">
        <v>88.1</v>
      </c>
      <c r="D16" s="17">
        <v>6.17</v>
      </c>
      <c r="E16" s="17"/>
      <c r="F16" s="17">
        <v>88.1</v>
      </c>
      <c r="G16" s="17">
        <f t="shared" si="0"/>
        <v>94.27</v>
      </c>
      <c r="H16" s="16" t="s">
        <v>20</v>
      </c>
      <c r="I16" s="16" t="s">
        <v>18</v>
      </c>
    </row>
    <row r="17" spans="1:9" ht="15" x14ac:dyDescent="0.25">
      <c r="A17" s="4" t="s">
        <v>10</v>
      </c>
      <c r="B17" s="4" t="s">
        <v>21</v>
      </c>
      <c r="C17" s="18">
        <v>2349.1</v>
      </c>
      <c r="D17" s="6">
        <v>164.44</v>
      </c>
      <c r="E17" s="19">
        <v>0</v>
      </c>
      <c r="F17" s="6">
        <v>2349.1</v>
      </c>
      <c r="G17" s="20">
        <f t="shared" si="0"/>
        <v>2513.54</v>
      </c>
      <c r="H17" s="4" t="s">
        <v>18</v>
      </c>
      <c r="I17" s="4" t="s">
        <v>18</v>
      </c>
    </row>
    <row r="18" spans="1:9" s="18" customFormat="1" ht="15" x14ac:dyDescent="0.25"/>
    <row r="19" spans="1:9" s="18" customFormat="1" ht="15" x14ac:dyDescent="0.25"/>
    <row r="20" spans="1:9" s="18" customFormat="1" ht="15" x14ac:dyDescent="0.25">
      <c r="A20" s="27" t="s">
        <v>53</v>
      </c>
      <c r="B20" s="28"/>
      <c r="C20" s="28"/>
      <c r="D20" s="28"/>
      <c r="E20" s="28"/>
      <c r="F20" s="28"/>
      <c r="G20" s="28"/>
      <c r="H20" s="28"/>
      <c r="I20" s="28"/>
    </row>
    <row r="21" spans="1:9" x14ac:dyDescent="0.2">
      <c r="A21" s="4" t="s">
        <v>22</v>
      </c>
      <c r="B21" s="4" t="s">
        <v>11</v>
      </c>
      <c r="C21" s="6">
        <v>120</v>
      </c>
      <c r="F21" s="6">
        <v>120</v>
      </c>
      <c r="G21" s="6">
        <f t="shared" si="0"/>
        <v>120</v>
      </c>
      <c r="H21" s="4" t="s">
        <v>12</v>
      </c>
      <c r="I21" s="4" t="s">
        <v>23</v>
      </c>
    </row>
    <row r="22" spans="1:9" x14ac:dyDescent="0.2">
      <c r="A22" s="4" t="s">
        <v>22</v>
      </c>
      <c r="B22" s="4" t="s">
        <v>11</v>
      </c>
      <c r="C22" s="6">
        <v>446.25</v>
      </c>
      <c r="F22" s="6">
        <v>446.25</v>
      </c>
      <c r="G22" s="6">
        <f t="shared" si="0"/>
        <v>446.25</v>
      </c>
      <c r="H22" s="4" t="s">
        <v>12</v>
      </c>
      <c r="I22" s="4" t="s">
        <v>24</v>
      </c>
    </row>
    <row r="23" spans="1:9" x14ac:dyDescent="0.2">
      <c r="A23" s="4" t="s">
        <v>22</v>
      </c>
      <c r="B23" s="4" t="s">
        <v>11</v>
      </c>
      <c r="C23" s="6">
        <v>36464.61</v>
      </c>
      <c r="F23" s="6">
        <v>36464.61</v>
      </c>
      <c r="G23" s="6">
        <f t="shared" si="0"/>
        <v>36464.61</v>
      </c>
      <c r="H23" s="4" t="s">
        <v>12</v>
      </c>
      <c r="I23" s="4" t="s">
        <v>25</v>
      </c>
    </row>
    <row r="24" spans="1:9" x14ac:dyDescent="0.2">
      <c r="A24" s="4" t="s">
        <v>22</v>
      </c>
      <c r="B24" s="4" t="s">
        <v>11</v>
      </c>
      <c r="C24" s="6">
        <v>8300</v>
      </c>
      <c r="F24" s="6">
        <v>8300</v>
      </c>
      <c r="G24" s="6">
        <f t="shared" si="0"/>
        <v>8300</v>
      </c>
      <c r="H24" s="4" t="s">
        <v>12</v>
      </c>
      <c r="I24" s="4" t="s">
        <v>25</v>
      </c>
    </row>
    <row r="25" spans="1:9" x14ac:dyDescent="0.2">
      <c r="A25" s="4" t="s">
        <v>22</v>
      </c>
      <c r="B25" s="4" t="s">
        <v>11</v>
      </c>
      <c r="C25" s="6">
        <v>2150</v>
      </c>
      <c r="F25" s="6">
        <v>2150</v>
      </c>
      <c r="G25" s="6">
        <f t="shared" si="0"/>
        <v>2150</v>
      </c>
      <c r="H25" s="4" t="s">
        <v>12</v>
      </c>
      <c r="I25" s="4" t="s">
        <v>25</v>
      </c>
    </row>
    <row r="26" spans="1:9" x14ac:dyDescent="0.2">
      <c r="A26" s="4" t="s">
        <v>22</v>
      </c>
      <c r="B26" s="4" t="s">
        <v>11</v>
      </c>
      <c r="C26" s="6">
        <v>2125</v>
      </c>
      <c r="F26" s="6">
        <v>2125</v>
      </c>
      <c r="G26" s="6">
        <f t="shared" si="0"/>
        <v>2125</v>
      </c>
      <c r="H26" s="4" t="s">
        <v>12</v>
      </c>
      <c r="I26" s="4" t="s">
        <v>25</v>
      </c>
    </row>
    <row r="27" spans="1:9" x14ac:dyDescent="0.2">
      <c r="A27" s="4" t="s">
        <v>22</v>
      </c>
      <c r="B27" s="4" t="s">
        <v>11</v>
      </c>
      <c r="C27" s="6">
        <v>1100</v>
      </c>
      <c r="F27" s="6">
        <v>1100</v>
      </c>
      <c r="G27" s="6">
        <f t="shared" si="0"/>
        <v>1100</v>
      </c>
      <c r="H27" s="4" t="s">
        <v>12</v>
      </c>
      <c r="I27" s="4" t="s">
        <v>25</v>
      </c>
    </row>
    <row r="28" spans="1:9" x14ac:dyDescent="0.2">
      <c r="A28" s="4" t="s">
        <v>22</v>
      </c>
      <c r="B28" s="4" t="s">
        <v>11</v>
      </c>
      <c r="C28" s="6">
        <v>1164</v>
      </c>
      <c r="F28" s="6">
        <v>1164</v>
      </c>
      <c r="G28" s="6">
        <f t="shared" si="0"/>
        <v>1164</v>
      </c>
      <c r="H28" s="4" t="s">
        <v>12</v>
      </c>
      <c r="I28" s="4" t="s">
        <v>25</v>
      </c>
    </row>
    <row r="29" spans="1:9" x14ac:dyDescent="0.2">
      <c r="A29" s="4" t="s">
        <v>22</v>
      </c>
      <c r="B29" s="4" t="s">
        <v>11</v>
      </c>
      <c r="C29" s="6">
        <v>7194</v>
      </c>
      <c r="F29" s="6">
        <v>7194</v>
      </c>
      <c r="G29" s="6">
        <f t="shared" si="0"/>
        <v>7194</v>
      </c>
      <c r="H29" s="4" t="s">
        <v>12</v>
      </c>
      <c r="I29" s="4" t="s">
        <v>26</v>
      </c>
    </row>
    <row r="30" spans="1:9" x14ac:dyDescent="0.2">
      <c r="A30" s="4" t="s">
        <v>22</v>
      </c>
      <c r="B30" s="4" t="s">
        <v>11</v>
      </c>
      <c r="C30" s="6">
        <v>366</v>
      </c>
      <c r="F30" s="6">
        <v>366</v>
      </c>
      <c r="G30" s="6">
        <f t="shared" si="0"/>
        <v>366</v>
      </c>
      <c r="H30" s="4" t="s">
        <v>12</v>
      </c>
      <c r="I30" s="4" t="s">
        <v>26</v>
      </c>
    </row>
    <row r="31" spans="1:9" x14ac:dyDescent="0.2">
      <c r="A31" s="4" t="s">
        <v>22</v>
      </c>
      <c r="B31" s="4" t="s">
        <v>11</v>
      </c>
      <c r="C31" s="6">
        <v>446.25</v>
      </c>
      <c r="F31" s="6">
        <v>446.25</v>
      </c>
      <c r="G31" s="6">
        <f t="shared" si="0"/>
        <v>446.25</v>
      </c>
      <c r="H31" s="4" t="s">
        <v>12</v>
      </c>
      <c r="I31" s="4" t="s">
        <v>26</v>
      </c>
    </row>
    <row r="32" spans="1:9" x14ac:dyDescent="0.2">
      <c r="A32" s="4" t="s">
        <v>22</v>
      </c>
      <c r="B32" s="4" t="s">
        <v>11</v>
      </c>
      <c r="C32" s="6">
        <v>70</v>
      </c>
      <c r="F32" s="6">
        <v>70</v>
      </c>
      <c r="G32" s="6">
        <f t="shared" si="0"/>
        <v>70</v>
      </c>
      <c r="H32" s="4" t="s">
        <v>12</v>
      </c>
      <c r="I32" s="4" t="s">
        <v>27</v>
      </c>
    </row>
    <row r="33" spans="1:9" x14ac:dyDescent="0.2">
      <c r="A33" s="4" t="s">
        <v>22</v>
      </c>
      <c r="B33" s="4" t="s">
        <v>11</v>
      </c>
      <c r="C33" s="6">
        <v>91</v>
      </c>
      <c r="F33" s="6">
        <v>91</v>
      </c>
      <c r="G33" s="6">
        <f t="shared" si="0"/>
        <v>91</v>
      </c>
      <c r="H33" s="4" t="s">
        <v>12</v>
      </c>
      <c r="I33" s="4" t="s">
        <v>27</v>
      </c>
    </row>
    <row r="34" spans="1:9" x14ac:dyDescent="0.2">
      <c r="A34" s="4" t="s">
        <v>22</v>
      </c>
      <c r="B34" s="4" t="s">
        <v>11</v>
      </c>
      <c r="C34" s="6">
        <v>868.55</v>
      </c>
      <c r="F34" s="6">
        <v>868.55</v>
      </c>
      <c r="G34" s="6">
        <f t="shared" si="0"/>
        <v>868.55</v>
      </c>
      <c r="H34" s="4" t="s">
        <v>12</v>
      </c>
      <c r="I34" s="4" t="s">
        <v>28</v>
      </c>
    </row>
    <row r="35" spans="1:9" x14ac:dyDescent="0.2">
      <c r="A35" s="4" t="s">
        <v>22</v>
      </c>
      <c r="B35" s="4" t="s">
        <v>11</v>
      </c>
      <c r="C35" s="6">
        <v>9</v>
      </c>
      <c r="F35" s="6">
        <v>9</v>
      </c>
      <c r="G35" s="6">
        <f t="shared" si="0"/>
        <v>9</v>
      </c>
      <c r="H35" s="4" t="s">
        <v>12</v>
      </c>
      <c r="I35" s="4" t="s">
        <v>29</v>
      </c>
    </row>
    <row r="36" spans="1:9" x14ac:dyDescent="0.2">
      <c r="A36" s="4" t="s">
        <v>22</v>
      </c>
      <c r="B36" s="4" t="s">
        <v>11</v>
      </c>
      <c r="C36" s="6">
        <v>282</v>
      </c>
      <c r="F36" s="6">
        <v>282</v>
      </c>
      <c r="G36" s="6">
        <f t="shared" si="0"/>
        <v>282</v>
      </c>
      <c r="H36" s="4" t="s">
        <v>12</v>
      </c>
      <c r="I36" s="4" t="s">
        <v>29</v>
      </c>
    </row>
    <row r="37" spans="1:9" x14ac:dyDescent="0.2">
      <c r="A37" s="4" t="s">
        <v>22</v>
      </c>
      <c r="B37" s="4" t="s">
        <v>11</v>
      </c>
      <c r="C37" s="6">
        <v>219</v>
      </c>
      <c r="F37" s="6">
        <v>219</v>
      </c>
      <c r="G37" s="6">
        <f t="shared" si="0"/>
        <v>219</v>
      </c>
      <c r="H37" s="4" t="s">
        <v>12</v>
      </c>
      <c r="I37" s="4" t="s">
        <v>29</v>
      </c>
    </row>
    <row r="38" spans="1:9" x14ac:dyDescent="0.2">
      <c r="A38" s="4" t="s">
        <v>22</v>
      </c>
      <c r="B38" s="4" t="s">
        <v>11</v>
      </c>
      <c r="C38" s="6">
        <v>59</v>
      </c>
      <c r="F38" s="6">
        <v>59</v>
      </c>
      <c r="G38" s="6">
        <f t="shared" si="0"/>
        <v>59</v>
      </c>
      <c r="H38" s="4" t="s">
        <v>12</v>
      </c>
      <c r="I38" s="4" t="s">
        <v>29</v>
      </c>
    </row>
    <row r="39" spans="1:9" x14ac:dyDescent="0.2">
      <c r="A39" s="4" t="s">
        <v>22</v>
      </c>
      <c r="B39" s="4" t="s">
        <v>11</v>
      </c>
      <c r="C39" s="6">
        <v>242</v>
      </c>
      <c r="F39" s="6">
        <v>242</v>
      </c>
      <c r="G39" s="6">
        <f t="shared" si="0"/>
        <v>242</v>
      </c>
      <c r="H39" s="4" t="s">
        <v>12</v>
      </c>
      <c r="I39" s="4" t="s">
        <v>29</v>
      </c>
    </row>
    <row r="40" spans="1:9" x14ac:dyDescent="0.2">
      <c r="A40" s="4" t="s">
        <v>22</v>
      </c>
      <c r="B40" s="4" t="s">
        <v>11</v>
      </c>
      <c r="C40" s="6">
        <v>3975</v>
      </c>
      <c r="F40" s="6">
        <v>3975</v>
      </c>
      <c r="G40" s="6">
        <f t="shared" si="0"/>
        <v>3975</v>
      </c>
      <c r="H40" s="4" t="s">
        <v>12</v>
      </c>
      <c r="I40" s="4" t="s">
        <v>29</v>
      </c>
    </row>
    <row r="41" spans="1:9" x14ac:dyDescent="0.2">
      <c r="A41" s="4" t="s">
        <v>22</v>
      </c>
      <c r="B41" s="4" t="s">
        <v>11</v>
      </c>
      <c r="C41" s="6">
        <v>1674</v>
      </c>
      <c r="F41" s="6">
        <v>1674</v>
      </c>
      <c r="G41" s="6">
        <f t="shared" si="0"/>
        <v>1674</v>
      </c>
      <c r="H41" s="4" t="s">
        <v>12</v>
      </c>
      <c r="I41" s="4" t="s">
        <v>30</v>
      </c>
    </row>
    <row r="42" spans="1:9" x14ac:dyDescent="0.2">
      <c r="A42" s="4" t="s">
        <v>22</v>
      </c>
      <c r="B42" s="4" t="s">
        <v>11</v>
      </c>
      <c r="C42" s="6">
        <v>63517.65</v>
      </c>
      <c r="F42" s="6">
        <v>63517.65</v>
      </c>
      <c r="G42" s="6">
        <f t="shared" si="0"/>
        <v>63517.65</v>
      </c>
      <c r="H42" s="4" t="s">
        <v>12</v>
      </c>
      <c r="I42" s="4" t="s">
        <v>31</v>
      </c>
    </row>
    <row r="43" spans="1:9" x14ac:dyDescent="0.2">
      <c r="A43" s="4" t="s">
        <v>22</v>
      </c>
      <c r="B43" s="4" t="s">
        <v>11</v>
      </c>
      <c r="C43" s="6">
        <v>3122.35</v>
      </c>
      <c r="F43" s="6">
        <v>3122.35</v>
      </c>
      <c r="G43" s="6">
        <f t="shared" si="0"/>
        <v>3122.35</v>
      </c>
      <c r="H43" s="4" t="s">
        <v>12</v>
      </c>
      <c r="I43" s="4" t="s">
        <v>31</v>
      </c>
    </row>
    <row r="44" spans="1:9" x14ac:dyDescent="0.2">
      <c r="A44" s="4" t="s">
        <v>22</v>
      </c>
      <c r="B44" s="4" t="s">
        <v>11</v>
      </c>
      <c r="C44" s="6">
        <v>873</v>
      </c>
      <c r="F44" s="6">
        <v>873</v>
      </c>
      <c r="G44" s="6">
        <f t="shared" si="0"/>
        <v>873</v>
      </c>
      <c r="H44" s="4" t="s">
        <v>12</v>
      </c>
      <c r="I44" s="4" t="s">
        <v>31</v>
      </c>
    </row>
    <row r="45" spans="1:9" x14ac:dyDescent="0.2">
      <c r="A45" s="4" t="s">
        <v>22</v>
      </c>
      <c r="B45" s="4" t="s">
        <v>11</v>
      </c>
      <c r="C45" s="6">
        <v>3060</v>
      </c>
      <c r="F45" s="6">
        <v>3060</v>
      </c>
      <c r="G45" s="6">
        <f t="shared" si="0"/>
        <v>3060</v>
      </c>
      <c r="H45" s="4" t="s">
        <v>12</v>
      </c>
      <c r="I45" s="4" t="s">
        <v>32</v>
      </c>
    </row>
    <row r="46" spans="1:9" x14ac:dyDescent="0.2">
      <c r="A46" s="4" t="s">
        <v>22</v>
      </c>
      <c r="B46" s="4" t="s">
        <v>11</v>
      </c>
      <c r="C46" s="6">
        <v>190</v>
      </c>
      <c r="F46" s="6">
        <v>190</v>
      </c>
      <c r="G46" s="6">
        <f t="shared" si="0"/>
        <v>190</v>
      </c>
      <c r="H46" s="4" t="s">
        <v>12</v>
      </c>
      <c r="I46" s="4" t="s">
        <v>32</v>
      </c>
    </row>
    <row r="47" spans="1:9" x14ac:dyDescent="0.2">
      <c r="A47" s="4" t="s">
        <v>22</v>
      </c>
      <c r="B47" s="4" t="s">
        <v>11</v>
      </c>
      <c r="C47" s="6">
        <v>190</v>
      </c>
      <c r="F47" s="6">
        <v>190</v>
      </c>
      <c r="G47" s="6">
        <f t="shared" si="0"/>
        <v>190</v>
      </c>
      <c r="H47" s="4" t="s">
        <v>12</v>
      </c>
      <c r="I47" s="4" t="s">
        <v>32</v>
      </c>
    </row>
    <row r="48" spans="1:9" x14ac:dyDescent="0.2">
      <c r="A48" s="4" t="s">
        <v>22</v>
      </c>
      <c r="B48" s="4" t="s">
        <v>11</v>
      </c>
      <c r="C48" s="6">
        <v>275</v>
      </c>
      <c r="F48" s="6">
        <v>275</v>
      </c>
      <c r="G48" s="6">
        <f t="shared" si="0"/>
        <v>275</v>
      </c>
      <c r="H48" s="4" t="s">
        <v>12</v>
      </c>
      <c r="I48" s="4" t="s">
        <v>32</v>
      </c>
    </row>
    <row r="49" spans="1:9" x14ac:dyDescent="0.2">
      <c r="A49" s="4" t="s">
        <v>22</v>
      </c>
      <c r="B49" s="4" t="s">
        <v>11</v>
      </c>
      <c r="C49" s="6">
        <v>345</v>
      </c>
      <c r="F49" s="6">
        <v>345</v>
      </c>
      <c r="G49" s="6">
        <f t="shared" si="0"/>
        <v>345</v>
      </c>
      <c r="H49" s="4" t="s">
        <v>12</v>
      </c>
      <c r="I49" s="4" t="s">
        <v>32</v>
      </c>
    </row>
    <row r="50" spans="1:9" x14ac:dyDescent="0.2">
      <c r="A50" s="4" t="s">
        <v>22</v>
      </c>
      <c r="B50" s="4" t="s">
        <v>11</v>
      </c>
      <c r="C50" s="6">
        <v>299.3</v>
      </c>
      <c r="F50" s="6">
        <v>299.3</v>
      </c>
      <c r="G50" s="6">
        <f t="shared" si="0"/>
        <v>299.3</v>
      </c>
      <c r="H50" s="4" t="s">
        <v>12</v>
      </c>
      <c r="I50" s="4" t="s">
        <v>33</v>
      </c>
    </row>
    <row r="51" spans="1:9" x14ac:dyDescent="0.2">
      <c r="A51" s="4" t="s">
        <v>22</v>
      </c>
      <c r="B51" s="4" t="s">
        <v>11</v>
      </c>
      <c r="C51" s="6">
        <v>7774.92</v>
      </c>
      <c r="F51" s="6">
        <v>7774.92</v>
      </c>
      <c r="G51" s="6">
        <f t="shared" si="0"/>
        <v>7774.92</v>
      </c>
      <c r="H51" s="4" t="s">
        <v>12</v>
      </c>
      <c r="I51" s="4" t="s">
        <v>34</v>
      </c>
    </row>
    <row r="52" spans="1:9" x14ac:dyDescent="0.2">
      <c r="A52" s="4" t="s">
        <v>22</v>
      </c>
      <c r="B52" s="4" t="s">
        <v>11</v>
      </c>
      <c r="C52" s="6">
        <v>5524.7</v>
      </c>
      <c r="F52" s="6">
        <v>5524.7</v>
      </c>
      <c r="G52" s="6">
        <f t="shared" si="0"/>
        <v>5524.7</v>
      </c>
      <c r="H52" s="4" t="s">
        <v>12</v>
      </c>
      <c r="I52" s="4" t="s">
        <v>34</v>
      </c>
    </row>
    <row r="53" spans="1:9" x14ac:dyDescent="0.2">
      <c r="A53" s="4" t="s">
        <v>22</v>
      </c>
      <c r="B53" s="4" t="s">
        <v>11</v>
      </c>
      <c r="C53" s="6">
        <v>175</v>
      </c>
      <c r="F53" s="6">
        <v>175</v>
      </c>
      <c r="G53" s="6">
        <f t="shared" si="0"/>
        <v>175</v>
      </c>
      <c r="H53" s="4" t="s">
        <v>12</v>
      </c>
      <c r="I53" s="4" t="s">
        <v>35</v>
      </c>
    </row>
    <row r="54" spans="1:9" x14ac:dyDescent="0.2">
      <c r="A54" s="4" t="s">
        <v>22</v>
      </c>
      <c r="B54" s="4" t="s">
        <v>11</v>
      </c>
      <c r="C54" s="6">
        <v>275</v>
      </c>
      <c r="F54" s="6">
        <v>275</v>
      </c>
      <c r="G54" s="6">
        <f t="shared" si="0"/>
        <v>275</v>
      </c>
      <c r="H54" s="4" t="s">
        <v>12</v>
      </c>
      <c r="I54" s="4" t="s">
        <v>36</v>
      </c>
    </row>
    <row r="55" spans="1:9" x14ac:dyDescent="0.2">
      <c r="A55" s="4" t="s">
        <v>22</v>
      </c>
      <c r="B55" s="4" t="s">
        <v>11</v>
      </c>
      <c r="C55" s="6">
        <v>4947</v>
      </c>
      <c r="F55" s="6">
        <v>4947</v>
      </c>
      <c r="G55" s="6">
        <f t="shared" si="0"/>
        <v>4947</v>
      </c>
      <c r="H55" s="4" t="s">
        <v>12</v>
      </c>
      <c r="I55" s="4" t="s">
        <v>37</v>
      </c>
    </row>
    <row r="56" spans="1:9" x14ac:dyDescent="0.2">
      <c r="A56" s="4" t="s">
        <v>22</v>
      </c>
      <c r="B56" s="4" t="s">
        <v>11</v>
      </c>
      <c r="C56" s="6">
        <v>195</v>
      </c>
      <c r="F56" s="6">
        <v>195</v>
      </c>
      <c r="G56" s="6">
        <f t="shared" si="0"/>
        <v>195</v>
      </c>
      <c r="H56" s="4" t="s">
        <v>12</v>
      </c>
      <c r="I56" s="4" t="s">
        <v>37</v>
      </c>
    </row>
    <row r="57" spans="1:9" x14ac:dyDescent="0.2">
      <c r="A57" s="4" t="s">
        <v>22</v>
      </c>
      <c r="B57" s="4" t="s">
        <v>11</v>
      </c>
      <c r="C57" s="6">
        <v>66</v>
      </c>
      <c r="F57" s="6">
        <v>66</v>
      </c>
      <c r="G57" s="6">
        <f t="shared" si="0"/>
        <v>66</v>
      </c>
      <c r="H57" s="4" t="s">
        <v>12</v>
      </c>
      <c r="I57" s="4" t="s">
        <v>37</v>
      </c>
    </row>
    <row r="58" spans="1:9" x14ac:dyDescent="0.2">
      <c r="A58" s="4" t="s">
        <v>22</v>
      </c>
      <c r="B58" s="4" t="s">
        <v>11</v>
      </c>
      <c r="C58" s="6">
        <v>245</v>
      </c>
      <c r="F58" s="6">
        <v>245</v>
      </c>
      <c r="G58" s="6">
        <f t="shared" si="0"/>
        <v>245</v>
      </c>
      <c r="H58" s="4" t="s">
        <v>12</v>
      </c>
      <c r="I58" s="4" t="s">
        <v>37</v>
      </c>
    </row>
    <row r="59" spans="1:9" x14ac:dyDescent="0.2">
      <c r="A59" s="4" t="s">
        <v>22</v>
      </c>
      <c r="B59" s="4" t="s">
        <v>11</v>
      </c>
      <c r="C59" s="6">
        <v>25</v>
      </c>
      <c r="F59" s="6">
        <v>25</v>
      </c>
      <c r="G59" s="6">
        <f t="shared" si="0"/>
        <v>25</v>
      </c>
      <c r="H59" s="4" t="s">
        <v>12</v>
      </c>
      <c r="I59" s="4" t="s">
        <v>38</v>
      </c>
    </row>
    <row r="60" spans="1:9" x14ac:dyDescent="0.2">
      <c r="A60" s="4" t="s">
        <v>22</v>
      </c>
      <c r="B60" s="4" t="s">
        <v>11</v>
      </c>
      <c r="C60" s="6">
        <v>908.28</v>
      </c>
      <c r="F60" s="6">
        <v>908.28</v>
      </c>
      <c r="G60" s="6">
        <f t="shared" si="0"/>
        <v>908.28</v>
      </c>
      <c r="H60" s="4" t="s">
        <v>12</v>
      </c>
      <c r="I60" s="4" t="s">
        <v>39</v>
      </c>
    </row>
    <row r="61" spans="1:9" x14ac:dyDescent="0.2">
      <c r="A61" s="4" t="s">
        <v>22</v>
      </c>
      <c r="B61" s="4" t="s">
        <v>11</v>
      </c>
      <c r="C61" s="6">
        <v>908.28</v>
      </c>
      <c r="F61" s="6">
        <v>908.28</v>
      </c>
      <c r="G61" s="6">
        <f t="shared" si="0"/>
        <v>908.28</v>
      </c>
      <c r="H61" s="4" t="s">
        <v>12</v>
      </c>
      <c r="I61" s="4" t="s">
        <v>39</v>
      </c>
    </row>
    <row r="62" spans="1:9" x14ac:dyDescent="0.2">
      <c r="A62" s="4" t="s">
        <v>22</v>
      </c>
      <c r="B62" s="4" t="s">
        <v>11</v>
      </c>
      <c r="C62" s="6">
        <v>57</v>
      </c>
      <c r="F62" s="6">
        <v>57</v>
      </c>
      <c r="G62" s="6">
        <f t="shared" si="0"/>
        <v>57</v>
      </c>
      <c r="H62" s="4" t="s">
        <v>12</v>
      </c>
      <c r="I62" s="4" t="s">
        <v>40</v>
      </c>
    </row>
    <row r="63" spans="1:9" x14ac:dyDescent="0.2">
      <c r="A63" s="4" t="s">
        <v>22</v>
      </c>
      <c r="B63" s="4" t="s">
        <v>11</v>
      </c>
      <c r="C63" s="6">
        <v>18</v>
      </c>
      <c r="F63" s="6">
        <v>18</v>
      </c>
      <c r="G63" s="6">
        <f t="shared" si="0"/>
        <v>18</v>
      </c>
      <c r="H63" s="4" t="s">
        <v>12</v>
      </c>
      <c r="I63" s="4" t="s">
        <v>40</v>
      </c>
    </row>
    <row r="64" spans="1:9" x14ac:dyDescent="0.2">
      <c r="A64" s="4" t="s">
        <v>22</v>
      </c>
      <c r="B64" s="4" t="s">
        <v>11</v>
      </c>
      <c r="C64" s="6">
        <v>18</v>
      </c>
      <c r="F64" s="6">
        <v>18</v>
      </c>
      <c r="G64" s="6">
        <f t="shared" si="0"/>
        <v>18</v>
      </c>
      <c r="H64" s="4" t="s">
        <v>12</v>
      </c>
      <c r="I64" s="4" t="s">
        <v>40</v>
      </c>
    </row>
    <row r="65" spans="1:9" x14ac:dyDescent="0.2">
      <c r="A65" s="4" t="s">
        <v>22</v>
      </c>
      <c r="B65" s="4" t="s">
        <v>11</v>
      </c>
      <c r="C65" s="6">
        <v>35.840000000000003</v>
      </c>
      <c r="F65" s="6">
        <v>35.840000000000003</v>
      </c>
      <c r="G65" s="6">
        <f t="shared" si="0"/>
        <v>35.840000000000003</v>
      </c>
      <c r="H65" s="4" t="s">
        <v>12</v>
      </c>
      <c r="I65" s="4" t="s">
        <v>40</v>
      </c>
    </row>
    <row r="66" spans="1:9" x14ac:dyDescent="0.2">
      <c r="A66" s="4" t="s">
        <v>22</v>
      </c>
      <c r="B66" s="4" t="s">
        <v>11</v>
      </c>
      <c r="C66" s="6">
        <v>18</v>
      </c>
      <c r="F66" s="6">
        <v>18</v>
      </c>
      <c r="G66" s="6">
        <f t="shared" si="0"/>
        <v>18</v>
      </c>
      <c r="H66" s="4" t="s">
        <v>12</v>
      </c>
      <c r="I66" s="4" t="s">
        <v>40</v>
      </c>
    </row>
    <row r="67" spans="1:9" x14ac:dyDescent="0.2">
      <c r="A67" s="4" t="s">
        <v>22</v>
      </c>
      <c r="B67" s="4" t="s">
        <v>11</v>
      </c>
      <c r="C67" s="6">
        <v>236</v>
      </c>
      <c r="F67" s="6">
        <v>236</v>
      </c>
      <c r="G67" s="6">
        <f t="shared" si="0"/>
        <v>236</v>
      </c>
      <c r="H67" s="4" t="s">
        <v>12</v>
      </c>
      <c r="I67" s="4" t="s">
        <v>41</v>
      </c>
    </row>
    <row r="68" spans="1:9" x14ac:dyDescent="0.2">
      <c r="A68" s="4" t="s">
        <v>22</v>
      </c>
      <c r="B68" s="4" t="s">
        <v>11</v>
      </c>
      <c r="C68" s="6">
        <v>52</v>
      </c>
      <c r="F68" s="6">
        <v>52</v>
      </c>
      <c r="G68" s="6">
        <f t="shared" si="0"/>
        <v>52</v>
      </c>
      <c r="H68" s="4" t="s">
        <v>12</v>
      </c>
      <c r="I68" s="4" t="s">
        <v>41</v>
      </c>
    </row>
    <row r="70" spans="1:9" x14ac:dyDescent="0.2">
      <c r="A70" s="4" t="s">
        <v>22</v>
      </c>
      <c r="B70" s="4" t="s">
        <v>11</v>
      </c>
      <c r="C70" s="6">
        <v>76</v>
      </c>
      <c r="F70" s="6">
        <v>76</v>
      </c>
      <c r="G70" s="6">
        <f t="shared" si="0"/>
        <v>76</v>
      </c>
      <c r="H70" s="4" t="s">
        <v>12</v>
      </c>
      <c r="I70" s="4" t="s">
        <v>41</v>
      </c>
    </row>
    <row r="71" spans="1:9" x14ac:dyDescent="0.2">
      <c r="A71" s="4" t="s">
        <v>22</v>
      </c>
      <c r="B71" s="4" t="s">
        <v>11</v>
      </c>
      <c r="C71" s="6">
        <v>81</v>
      </c>
      <c r="F71" s="6">
        <v>81</v>
      </c>
      <c r="G71" s="6">
        <f t="shared" si="0"/>
        <v>81</v>
      </c>
      <c r="H71" s="4" t="s">
        <v>12</v>
      </c>
      <c r="I71" s="4" t="s">
        <v>42</v>
      </c>
    </row>
    <row r="72" spans="1:9" x14ac:dyDescent="0.2">
      <c r="A72" s="4" t="s">
        <v>22</v>
      </c>
      <c r="B72" s="4" t="s">
        <v>11</v>
      </c>
      <c r="C72" s="6">
        <v>160873.98000000001</v>
      </c>
      <c r="F72" s="6">
        <v>160873.98000000001</v>
      </c>
      <c r="G72" s="6">
        <f t="shared" si="0"/>
        <v>160873.98000000001</v>
      </c>
      <c r="H72" s="4" t="s">
        <v>17</v>
      </c>
      <c r="I72" s="4" t="s">
        <v>18</v>
      </c>
    </row>
    <row r="73" spans="1:9" x14ac:dyDescent="0.2">
      <c r="A73" s="4" t="s">
        <v>22</v>
      </c>
      <c r="B73" s="4" t="s">
        <v>11</v>
      </c>
      <c r="E73" s="6">
        <v>2394</v>
      </c>
      <c r="F73" s="6">
        <v>2394</v>
      </c>
      <c r="G73" s="6">
        <f t="shared" si="0"/>
        <v>2394</v>
      </c>
      <c r="H73" s="4" t="s">
        <v>43</v>
      </c>
      <c r="I73" s="4" t="s">
        <v>26</v>
      </c>
    </row>
    <row r="74" spans="1:9" x14ac:dyDescent="0.2">
      <c r="A74" s="4" t="s">
        <v>22</v>
      </c>
      <c r="B74" s="4" t="s">
        <v>11</v>
      </c>
      <c r="E74" s="6">
        <v>15250</v>
      </c>
      <c r="F74" s="6">
        <v>15250</v>
      </c>
      <c r="G74" s="6">
        <f t="shared" si="0"/>
        <v>15250</v>
      </c>
      <c r="H74" s="4" t="s">
        <v>43</v>
      </c>
      <c r="I74" s="4" t="s">
        <v>44</v>
      </c>
    </row>
    <row r="75" spans="1:9" x14ac:dyDescent="0.2">
      <c r="A75" s="4" t="s">
        <v>22</v>
      </c>
      <c r="B75" s="4" t="s">
        <v>11</v>
      </c>
      <c r="E75" s="6">
        <v>951</v>
      </c>
      <c r="F75" s="6">
        <v>951</v>
      </c>
      <c r="G75" s="6">
        <f t="shared" ref="G75:G101" si="1">SUM(F75,D75)</f>
        <v>951</v>
      </c>
      <c r="H75" s="4" t="s">
        <v>43</v>
      </c>
      <c r="I75" s="4" t="s">
        <v>29</v>
      </c>
    </row>
    <row r="76" spans="1:9" x14ac:dyDescent="0.2">
      <c r="A76" s="4" t="s">
        <v>22</v>
      </c>
      <c r="B76" s="4" t="s">
        <v>11</v>
      </c>
      <c r="E76" s="6">
        <v>16425.849999999999</v>
      </c>
      <c r="F76" s="6">
        <v>16425.849999999999</v>
      </c>
      <c r="G76" s="6">
        <f t="shared" si="1"/>
        <v>16425.849999999999</v>
      </c>
      <c r="H76" s="4" t="s">
        <v>43</v>
      </c>
      <c r="I76" s="4" t="s">
        <v>45</v>
      </c>
    </row>
    <row r="78" spans="1:9" x14ac:dyDescent="0.2">
      <c r="A78" s="4" t="s">
        <v>22</v>
      </c>
      <c r="B78" s="4" t="s">
        <v>11</v>
      </c>
      <c r="E78" s="6">
        <v>700</v>
      </c>
      <c r="F78" s="6">
        <v>700</v>
      </c>
      <c r="G78" s="6">
        <f t="shared" si="1"/>
        <v>700</v>
      </c>
      <c r="H78" s="4" t="s">
        <v>43</v>
      </c>
      <c r="I78" s="4" t="s">
        <v>46</v>
      </c>
    </row>
    <row r="79" spans="1:9" x14ac:dyDescent="0.2">
      <c r="A79" s="4" t="s">
        <v>22</v>
      </c>
      <c r="B79" s="4" t="s">
        <v>11</v>
      </c>
      <c r="E79" s="6">
        <v>362.13</v>
      </c>
      <c r="F79" s="6">
        <v>362.13</v>
      </c>
      <c r="G79" s="6">
        <f t="shared" si="1"/>
        <v>362.13</v>
      </c>
      <c r="H79" s="4" t="s">
        <v>43</v>
      </c>
      <c r="I79" s="4" t="s">
        <v>47</v>
      </c>
    </row>
    <row r="80" spans="1:9" x14ac:dyDescent="0.2">
      <c r="A80" s="4" t="s">
        <v>22</v>
      </c>
      <c r="B80" s="4" t="s">
        <v>11</v>
      </c>
      <c r="E80" s="6">
        <v>1304</v>
      </c>
      <c r="F80" s="6">
        <v>1304</v>
      </c>
      <c r="G80" s="6">
        <f t="shared" si="1"/>
        <v>1304</v>
      </c>
      <c r="H80" s="4" t="s">
        <v>43</v>
      </c>
      <c r="I80" s="4" t="s">
        <v>48</v>
      </c>
    </row>
    <row r="81" spans="1:9" x14ac:dyDescent="0.2">
      <c r="A81" s="4" t="s">
        <v>22</v>
      </c>
      <c r="B81" s="4" t="s">
        <v>11</v>
      </c>
      <c r="E81" s="6">
        <v>37386.980000000003</v>
      </c>
      <c r="F81" s="6">
        <v>37386.980000000003</v>
      </c>
      <c r="G81" s="6">
        <f t="shared" si="1"/>
        <v>37386.980000000003</v>
      </c>
      <c r="H81" s="4" t="s">
        <v>49</v>
      </c>
      <c r="I81" s="4" t="s">
        <v>18</v>
      </c>
    </row>
    <row r="82" spans="1:9" x14ac:dyDescent="0.2">
      <c r="A82" s="4" t="s">
        <v>22</v>
      </c>
      <c r="B82" s="4" t="s">
        <v>11</v>
      </c>
      <c r="E82" s="6">
        <v>10.95</v>
      </c>
      <c r="F82" s="6">
        <v>10.95</v>
      </c>
      <c r="G82" s="6">
        <f t="shared" si="1"/>
        <v>10.95</v>
      </c>
      <c r="H82" s="4" t="s">
        <v>50</v>
      </c>
      <c r="I82" s="4" t="s">
        <v>23</v>
      </c>
    </row>
    <row r="83" spans="1:9" x14ac:dyDescent="0.2">
      <c r="A83" s="4" t="s">
        <v>22</v>
      </c>
      <c r="B83" s="4" t="s">
        <v>11</v>
      </c>
      <c r="E83" s="6">
        <v>15.41</v>
      </c>
      <c r="F83" s="6">
        <v>15.41</v>
      </c>
      <c r="G83" s="6">
        <f t="shared" si="1"/>
        <v>15.41</v>
      </c>
      <c r="H83" s="4" t="s">
        <v>50</v>
      </c>
      <c r="I83" s="4" t="s">
        <v>24</v>
      </c>
    </row>
    <row r="84" spans="1:9" x14ac:dyDescent="0.2">
      <c r="A84" s="4" t="s">
        <v>22</v>
      </c>
      <c r="B84" s="4" t="s">
        <v>11</v>
      </c>
      <c r="E84" s="6">
        <v>120.58</v>
      </c>
      <c r="F84" s="6">
        <v>120.58</v>
      </c>
      <c r="G84" s="6">
        <f t="shared" si="1"/>
        <v>120.58</v>
      </c>
      <c r="H84" s="4" t="s">
        <v>50</v>
      </c>
      <c r="I84" s="4" t="s">
        <v>25</v>
      </c>
    </row>
    <row r="85" spans="1:9" x14ac:dyDescent="0.2">
      <c r="A85" s="4" t="s">
        <v>22</v>
      </c>
      <c r="B85" s="4" t="s">
        <v>11</v>
      </c>
      <c r="E85" s="6">
        <v>38.28</v>
      </c>
      <c r="F85" s="6">
        <v>38.28</v>
      </c>
      <c r="G85" s="6">
        <f t="shared" si="1"/>
        <v>38.28</v>
      </c>
      <c r="H85" s="4" t="s">
        <v>50</v>
      </c>
      <c r="I85" s="4" t="s">
        <v>26</v>
      </c>
    </row>
    <row r="86" spans="1:9" x14ac:dyDescent="0.2">
      <c r="A86" s="4" t="s">
        <v>22</v>
      </c>
      <c r="B86" s="4" t="s">
        <v>11</v>
      </c>
      <c r="E86" s="6">
        <v>29.86</v>
      </c>
      <c r="F86" s="6">
        <v>29.86</v>
      </c>
      <c r="G86" s="6">
        <f t="shared" si="1"/>
        <v>29.86</v>
      </c>
      <c r="H86" s="4" t="s">
        <v>50</v>
      </c>
      <c r="I86" s="4" t="s">
        <v>28</v>
      </c>
    </row>
    <row r="87" spans="1:9" x14ac:dyDescent="0.2">
      <c r="A87" s="4" t="s">
        <v>22</v>
      </c>
      <c r="B87" s="4" t="s">
        <v>11</v>
      </c>
      <c r="E87" s="6">
        <v>30.87</v>
      </c>
      <c r="F87" s="6">
        <v>30.87</v>
      </c>
      <c r="G87" s="6">
        <f t="shared" si="1"/>
        <v>30.87</v>
      </c>
      <c r="H87" s="4" t="s">
        <v>50</v>
      </c>
      <c r="I87" s="4" t="s">
        <v>29</v>
      </c>
    </row>
    <row r="88" spans="1:9" x14ac:dyDescent="0.2">
      <c r="A88" s="4" t="s">
        <v>22</v>
      </c>
      <c r="B88" s="4" t="s">
        <v>11</v>
      </c>
      <c r="E88" s="6">
        <v>30.84</v>
      </c>
      <c r="F88" s="6">
        <v>30.84</v>
      </c>
      <c r="G88" s="6">
        <f t="shared" si="1"/>
        <v>30.84</v>
      </c>
      <c r="H88" s="4" t="s">
        <v>50</v>
      </c>
      <c r="I88" s="4" t="s">
        <v>30</v>
      </c>
    </row>
    <row r="89" spans="1:9" x14ac:dyDescent="0.2">
      <c r="A89" s="4" t="s">
        <v>22</v>
      </c>
      <c r="B89" s="4" t="s">
        <v>11</v>
      </c>
      <c r="E89" s="6">
        <v>45.2</v>
      </c>
      <c r="F89" s="6">
        <v>45.2</v>
      </c>
      <c r="G89" s="6">
        <f t="shared" si="1"/>
        <v>45.2</v>
      </c>
      <c r="H89" s="4" t="s">
        <v>50</v>
      </c>
      <c r="I89" s="4" t="s">
        <v>32</v>
      </c>
    </row>
    <row r="90" spans="1:9" x14ac:dyDescent="0.2">
      <c r="A90" s="4" t="s">
        <v>22</v>
      </c>
      <c r="B90" s="4" t="s">
        <v>11</v>
      </c>
      <c r="E90" s="6">
        <v>20.85</v>
      </c>
      <c r="F90" s="6">
        <v>20.85</v>
      </c>
      <c r="G90" s="6">
        <f t="shared" si="1"/>
        <v>20.85</v>
      </c>
      <c r="H90" s="4" t="s">
        <v>50</v>
      </c>
      <c r="I90" s="4" t="s">
        <v>33</v>
      </c>
    </row>
    <row r="91" spans="1:9" x14ac:dyDescent="0.2">
      <c r="A91" s="4" t="s">
        <v>22</v>
      </c>
      <c r="B91" s="4" t="s">
        <v>11</v>
      </c>
      <c r="E91" s="6">
        <v>89.93</v>
      </c>
      <c r="F91" s="6">
        <v>89.93</v>
      </c>
      <c r="G91" s="6">
        <f t="shared" si="1"/>
        <v>89.93</v>
      </c>
      <c r="H91" s="4" t="s">
        <v>50</v>
      </c>
      <c r="I91" s="4" t="s">
        <v>34</v>
      </c>
    </row>
    <row r="92" spans="1:9" x14ac:dyDescent="0.2">
      <c r="A92" s="4" t="s">
        <v>22</v>
      </c>
      <c r="B92" s="4" t="s">
        <v>11</v>
      </c>
      <c r="E92" s="6">
        <v>8.85</v>
      </c>
      <c r="F92" s="6">
        <v>8.85</v>
      </c>
      <c r="G92" s="6">
        <f t="shared" si="1"/>
        <v>8.85</v>
      </c>
      <c r="H92" s="4" t="s">
        <v>50</v>
      </c>
      <c r="I92" s="4" t="s">
        <v>35</v>
      </c>
    </row>
    <row r="93" spans="1:9" x14ac:dyDescent="0.2">
      <c r="A93" s="4" t="s">
        <v>22</v>
      </c>
      <c r="B93" s="4" t="s">
        <v>11</v>
      </c>
      <c r="E93" s="6">
        <v>15.85</v>
      </c>
      <c r="F93" s="6">
        <v>15.85</v>
      </c>
      <c r="G93" s="6">
        <f t="shared" si="1"/>
        <v>15.85</v>
      </c>
      <c r="H93" s="4" t="s">
        <v>50</v>
      </c>
      <c r="I93" s="4" t="s">
        <v>36</v>
      </c>
    </row>
    <row r="94" spans="1:9" x14ac:dyDescent="0.2">
      <c r="A94" s="4" t="s">
        <v>22</v>
      </c>
      <c r="B94" s="4" t="s">
        <v>11</v>
      </c>
      <c r="E94" s="6">
        <v>30.88</v>
      </c>
      <c r="F94" s="6">
        <v>30.88</v>
      </c>
      <c r="G94" s="6">
        <f t="shared" si="1"/>
        <v>30.88</v>
      </c>
      <c r="H94" s="4" t="s">
        <v>50</v>
      </c>
      <c r="I94" s="4" t="s">
        <v>37</v>
      </c>
    </row>
    <row r="95" spans="1:9" x14ac:dyDescent="0.2">
      <c r="A95" s="4" t="s">
        <v>22</v>
      </c>
      <c r="B95" s="4" t="s">
        <v>11</v>
      </c>
      <c r="E95" s="6">
        <v>5.25</v>
      </c>
      <c r="F95" s="6">
        <v>5.25</v>
      </c>
      <c r="G95" s="6">
        <f t="shared" si="1"/>
        <v>5.25</v>
      </c>
      <c r="H95" s="4" t="s">
        <v>50</v>
      </c>
      <c r="I95" s="4" t="s">
        <v>38</v>
      </c>
    </row>
    <row r="96" spans="1:9" x14ac:dyDescent="0.2">
      <c r="A96" s="4" t="s">
        <v>22</v>
      </c>
      <c r="B96" s="4" t="s">
        <v>11</v>
      </c>
      <c r="E96" s="6">
        <v>65</v>
      </c>
      <c r="F96" s="6">
        <v>65</v>
      </c>
      <c r="G96" s="6">
        <f t="shared" si="1"/>
        <v>65</v>
      </c>
      <c r="H96" s="4" t="s">
        <v>50</v>
      </c>
      <c r="I96" s="4" t="s">
        <v>39</v>
      </c>
    </row>
    <row r="97" spans="1:9" x14ac:dyDescent="0.2">
      <c r="A97" s="4" t="s">
        <v>22</v>
      </c>
      <c r="B97" s="4" t="s">
        <v>11</v>
      </c>
      <c r="E97" s="6">
        <v>15.52</v>
      </c>
      <c r="F97" s="6">
        <v>15.52</v>
      </c>
      <c r="G97" s="6">
        <f t="shared" si="1"/>
        <v>15.52</v>
      </c>
      <c r="H97" s="4" t="s">
        <v>50</v>
      </c>
      <c r="I97" s="4" t="s">
        <v>40</v>
      </c>
    </row>
    <row r="98" spans="1:9" x14ac:dyDescent="0.2">
      <c r="A98" s="4" t="s">
        <v>22</v>
      </c>
      <c r="B98" s="4" t="s">
        <v>11</v>
      </c>
      <c r="E98" s="6">
        <v>18.98</v>
      </c>
      <c r="F98" s="6">
        <v>18.98</v>
      </c>
      <c r="G98" s="6">
        <f t="shared" si="1"/>
        <v>18.98</v>
      </c>
      <c r="H98" s="4" t="s">
        <v>50</v>
      </c>
      <c r="I98" s="4" t="s">
        <v>41</v>
      </c>
    </row>
    <row r="99" spans="1:9" x14ac:dyDescent="0.2">
      <c r="A99" s="4" t="s">
        <v>22</v>
      </c>
      <c r="B99" s="4" t="s">
        <v>11</v>
      </c>
      <c r="E99" s="6">
        <v>12</v>
      </c>
      <c r="F99" s="6">
        <v>12</v>
      </c>
      <c r="G99" s="6">
        <f t="shared" si="1"/>
        <v>12</v>
      </c>
      <c r="H99" s="4" t="s">
        <v>50</v>
      </c>
      <c r="I99" s="4" t="s">
        <v>42</v>
      </c>
    </row>
    <row r="100" spans="1:9" x14ac:dyDescent="0.2">
      <c r="A100" s="4" t="s">
        <v>22</v>
      </c>
      <c r="B100" s="4" t="s">
        <v>11</v>
      </c>
      <c r="E100" s="6">
        <v>605.1</v>
      </c>
      <c r="F100" s="6">
        <v>605.1</v>
      </c>
      <c r="G100" s="6">
        <f t="shared" si="1"/>
        <v>605.1</v>
      </c>
      <c r="H100" s="4" t="s">
        <v>51</v>
      </c>
      <c r="I100" s="4" t="s">
        <v>18</v>
      </c>
    </row>
    <row r="101" spans="1:9" ht="15" x14ac:dyDescent="0.25">
      <c r="A101" s="16" t="s">
        <v>22</v>
      </c>
      <c r="B101" s="16" t="s">
        <v>21</v>
      </c>
      <c r="C101" s="21">
        <v>160873.98000000001</v>
      </c>
      <c r="D101" s="21"/>
      <c r="E101" s="21">
        <v>37992.080000000002</v>
      </c>
      <c r="F101" s="17">
        <v>198866.06</v>
      </c>
      <c r="G101" s="22">
        <f t="shared" si="1"/>
        <v>198866.06</v>
      </c>
      <c r="H101" s="16" t="s">
        <v>55</v>
      </c>
      <c r="I101" s="16" t="s">
        <v>18</v>
      </c>
    </row>
    <row r="102" spans="1:9" ht="15" x14ac:dyDescent="0.25">
      <c r="A102" s="8" t="s">
        <v>54</v>
      </c>
      <c r="B102" s="8"/>
      <c r="C102" s="7"/>
      <c r="D102" s="7"/>
      <c r="E102" s="7">
        <f>SUM(E101,C101,E17)</f>
        <v>198866.06</v>
      </c>
      <c r="G102" s="23">
        <f>SUM(G101,G17)</f>
        <v>201379.6</v>
      </c>
      <c r="H102" s="24" t="s">
        <v>56</v>
      </c>
    </row>
  </sheetData>
  <mergeCells count="4">
    <mergeCell ref="A1:H1"/>
    <mergeCell ref="A2:H2"/>
    <mergeCell ref="A3:H3"/>
    <mergeCell ref="A20:I20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Taxable - Exempt Sales2 (7)</vt:lpstr>
      <vt:lpstr>Taxable - Exempt Sales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Leining</dc:creator>
  <cp:lastModifiedBy>User</cp:lastModifiedBy>
  <cp:lastPrinted>2017-02-06T13:40:06Z</cp:lastPrinted>
  <dcterms:created xsi:type="dcterms:W3CDTF">2017-02-05T20:15:27Z</dcterms:created>
  <dcterms:modified xsi:type="dcterms:W3CDTF">2017-05-02T21:59:08Z</dcterms:modified>
</cp:coreProperties>
</file>